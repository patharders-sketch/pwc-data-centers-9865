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Buildings" sheetId="3" state="visible" r:id="rId3"/>
  </sheets>
  <definedNames>
    <definedName name="_xlnm._FilterDatabase" localSheetId="1" hidden="1">'Projects'!$A$1:$AF$89</definedName>
    <definedName name="_xlnm._FilterDatabase" localSheetId="2" hidden="1">'Buildings'!$A$1:$O$248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PWC data center applications/projects - summary</t>
        </is>
      </c>
    </row>
    <row r="2">
      <c r="A2" t="inlineStr">
        <is>
          <t>Pulled live 2026-10-15 13:23 ET from gisweb.pwcva.gov (Build_Out_Analysis layers 9/10, CountyMapper pending cases layer 2, Zoning layer 6) and ePortal (egcss.pwcgov.org).</t>
        </is>
      </c>
    </row>
    <row r="3"/>
    <row r="4">
      <c r="A4" s="1" t="inlineStr">
        <is>
          <t>Stage</t>
        </is>
      </c>
      <c r="B4" s="1" t="inlineStr">
        <is>
          <t>Projects</t>
        </is>
      </c>
      <c r="C4" s="1" t="inlineStr">
        <is>
          <t>Campus-layer rows</t>
        </is>
      </c>
      <c r="D4" s="1" t="inlineStr">
        <is>
          <t>Planned GFA (sf, campus layer)</t>
        </is>
      </c>
      <c r="E4" s="1" t="inlineStr">
        <is>
          <t>Acreage (GIS, where available)</t>
        </is>
      </c>
    </row>
    <row r="5">
      <c r="A5" t="inlineStr">
        <is>
          <t>Under Construction</t>
        </is>
      </c>
      <c r="B5" t="n">
        <v>13</v>
      </c>
      <c r="C5" t="n">
        <v>13</v>
      </c>
      <c r="D5" t="n">
        <v>16588254</v>
      </c>
      <c r="E5" t="n">
        <v>957.2</v>
      </c>
    </row>
    <row r="6">
      <c r="A6" t="inlineStr">
        <is>
          <t>Completed</t>
        </is>
      </c>
      <c r="B6" t="n">
        <v>10</v>
      </c>
      <c r="C6" t="n">
        <v>10</v>
      </c>
      <c r="D6" t="n">
        <v>5358580</v>
      </c>
      <c r="E6" t="n">
        <v>342.2</v>
      </c>
    </row>
    <row r="7">
      <c r="A7" t="inlineStr">
        <is>
          <t>Approved / Planned</t>
        </is>
      </c>
      <c r="B7" t="n">
        <v>42</v>
      </c>
      <c r="C7" t="n">
        <v>42</v>
      </c>
      <c r="D7" t="n">
        <v>39260057</v>
      </c>
      <c r="E7" t="n">
        <v>2090.3</v>
      </c>
    </row>
    <row r="8">
      <c r="A8" t="inlineStr">
        <is>
          <t>Pending / Under Review</t>
        </is>
      </c>
      <c r="B8" t="n">
        <v>11</v>
      </c>
      <c r="C8" t="n">
        <v>10</v>
      </c>
      <c r="D8" t="n">
        <v>14680648</v>
      </c>
      <c r="E8" t="n">
        <v>941.8</v>
      </c>
    </row>
    <row r="9">
      <c r="A9" t="inlineStr">
        <is>
          <t>In Planning Office (site plan in review)</t>
        </is>
      </c>
      <c r="B9" t="n">
        <v>2</v>
      </c>
      <c r="C9" t="n">
        <v>0</v>
      </c>
      <c r="D9" t="n">
        <v>0</v>
      </c>
      <c r="E9" t="n">
        <v>0</v>
      </c>
    </row>
    <row r="10">
      <c r="A10" t="inlineStr">
        <is>
          <t>Denied</t>
        </is>
      </c>
      <c r="B10" t="n">
        <v>2</v>
      </c>
      <c r="C10" t="n">
        <v>2</v>
      </c>
      <c r="D10" t="n">
        <v>10700000</v>
      </c>
      <c r="E10" t="n">
        <v>875.6</v>
      </c>
    </row>
    <row r="11">
      <c r="A11" t="inlineStr">
        <is>
          <t>Void / Withdrawn / Denied</t>
        </is>
      </c>
      <c r="B11" t="n">
        <v>8</v>
      </c>
      <c r="C11" t="n">
        <v>1</v>
      </c>
      <c r="D11" t="n">
        <v>11555200</v>
      </c>
      <c r="E11" t="n">
        <v>884.2</v>
      </c>
    </row>
    <row r="12">
      <c r="A12" s="1" t="inlineStr">
        <is>
          <t>TOTAL</t>
        </is>
      </c>
      <c r="B12">
        <f>SUM(B5:B11)</f>
        <v/>
      </c>
      <c r="C12">
        <f>SUM(C5:C11)</f>
        <v/>
      </c>
      <c r="D12">
        <f>SUM(D5:D11)</f>
        <v/>
      </c>
      <c r="E12">
        <f>SUM(E5:E11)</f>
        <v/>
      </c>
    </row>
    <row r="13"/>
    <row r="14">
      <c r="A14" s="1" t="inlineStr">
        <is>
          <t>County raw status (campus layer 10)</t>
        </is>
      </c>
      <c r="B14" t="inlineStr">
        <is>
          <t>Campuses</t>
        </is>
      </c>
    </row>
    <row r="15">
      <c r="A15" t="inlineStr">
        <is>
          <t>Planned</t>
        </is>
      </c>
      <c r="B15" t="n">
        <v>53</v>
      </c>
    </row>
    <row r="16">
      <c r="A16" t="inlineStr">
        <is>
          <t>Pending</t>
        </is>
      </c>
      <c r="B16" t="n">
        <v>15</v>
      </c>
    </row>
    <row r="17">
      <c r="A17" t="inlineStr">
        <is>
          <t>Completed</t>
        </is>
      </c>
      <c r="B17" t="n">
        <v>10</v>
      </c>
    </row>
    <row r="18"/>
    <row r="19">
      <c r="A19" s="1" t="inlineStr">
        <is>
          <t>Buildings (layer 9) by status shown (county label in county_layer_status)</t>
        </is>
      </c>
      <c r="B19" t="inlineStr">
        <is>
          <t>Buildings</t>
        </is>
      </c>
    </row>
    <row r="20">
      <c r="A20" t="inlineStr">
        <is>
          <t>Planned</t>
        </is>
      </c>
      <c r="B20" t="n">
        <v>91</v>
      </c>
    </row>
    <row r="21">
      <c r="A21" t="inlineStr">
        <is>
          <t>Pending</t>
        </is>
      </c>
      <c r="B21" t="n">
        <v>31</v>
      </c>
    </row>
    <row r="22">
      <c r="A22" t="inlineStr">
        <is>
          <t>Denied</t>
        </is>
      </c>
      <c r="B22" t="n">
        <v>37</v>
      </c>
    </row>
    <row r="23">
      <c r="A23" t="inlineStr">
        <is>
          <t>Completed</t>
        </is>
      </c>
      <c r="B23" t="n">
        <v>59</v>
      </c>
    </row>
    <row r="24">
      <c r="A24" t="inlineStr">
        <is>
          <t>Under Construction</t>
        </is>
      </c>
      <c r="B24" t="n">
        <v>29</v>
      </c>
    </row>
    <row r="25"/>
    <row r="26">
      <c r="A26" s="1" t="inlineStr">
        <is>
          <t>Notes</t>
        </is>
      </c>
    </row>
    <row r="27">
      <c r="A27" t="inlineStr">
        <is>
          <t>One row per campus (78 in layer 10; some share a case number) plus ePortal-only projects not in the campus layer (10).</t>
        </is>
      </c>
    </row>
    <row r="28">
      <c r="A28" t="inlineStr">
        <is>
          <t>Buildings joined to campuses by spatial point-in-polygon (all 247 fall in exactly one campus); building PlanningCaseNumber disagrees with campus case number for 21 (see Buildings sheet).</t>
        </is>
      </c>
    </row>
    <row r="29">
      <c r="A29" t="inlineStr">
        <is>
          <t>Stage rules: plan section 5. Precedence Under Construction &gt; county campus status. Completed = campus ProjectStatus Completed. Planned -&gt; Approved / Planned. Pending -&gt; Pending / Under Review (sub-state in county_status_pending_case, e.g. Deferred, Suspended).</t>
        </is>
      </c>
    </row>
    <row r="30">
      <c r="A30" t="inlineStr">
        <is>
          <t>Denied (Oct 15, 2026 edit): Digital Gateway North/South (REZ2022-00032/-33) stage set to 'Denied' and Compass (REZ2022-00036) kept as 'Void / Withdrawn / Denied' (no evidence found it was denied). The 37 buildings of all three (12+8+17) show BuildingStatus 'Denied' (per Patrick: Digital Gateway denied; Compass buildings shown with them); the county layer label ('Pending') is kept in Buildings.county_layer_status. The county pending-case layer still lists the three as Suspended (On-Hold).</t>
        </is>
      </c>
    </row>
    <row r="31">
      <c r="A31" t="inlineStr">
        <is>
          <t>Pending-case layer: 9 'DATA CENTER' description matches included (7 by campus case number; SUP2026-00035 and SUP2027-00008 attached to Southgate South and Gardner Property by project name). Other pending-layer companion cases joined by case number or exact name.</t>
        </is>
      </c>
    </row>
    <row r="32">
      <c r="A32" t="inlineStr">
        <is>
          <t>ePortal 'data center' keyword search (1,094 hits, noisy) joined by case number, then building GPIN, then case number cited in description, then exact/unique-prefix name. Join method is shown per case in eportal_related_cases.</t>
        </is>
      </c>
    </row>
    <row r="33">
      <c r="A33" t="inlineStr">
        <is>
          <t>ePortal-only rows: stage from ePortal case status; acreage/district filled only if the case is also in the pending-case layer; otherwise blank. Public facility (substation) reviews excluded.</t>
        </is>
      </c>
    </row>
    <row r="34">
      <c r="A34" t="inlineStr">
        <is>
          <t>Blank = not available in the sources. MW, applicant/owner not in these sources.</t>
        </is>
      </c>
    </row>
    <row r="35">
      <c r="A35" t="inlineStr">
        <is>
          <t>last_edit_date = latest LastEditDate among campus and its buildings (county GIS edit, not filing date).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6" customWidth="1" min="4" max="4"/>
    <col width="28" customWidth="1" min="5" max="5"/>
    <col width="24" customWidth="1" min="6" max="6"/>
    <col width="16" customWidth="1" min="7" max="7"/>
    <col width="16" customWidth="1" min="8" max="8"/>
    <col width="16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0" customWidth="1" min="20" max="20"/>
    <col width="30" customWidth="1" min="21" max="21"/>
    <col width="50" customWidth="1" min="22" max="22"/>
    <col width="16" customWidth="1" min="23" max="23"/>
    <col width="16" customWidth="1" min="24" max="24"/>
    <col width="16" customWidth="1" min="25" max="25"/>
    <col width="50" customWidth="1" min="26" max="26"/>
    <col width="16" customWidth="1" min="27" max="27"/>
    <col width="16" customWidth="1" min="28" max="28"/>
    <col width="16" customWidth="1" min="29" max="29"/>
    <col width="50" customWidth="1" min="30" max="30"/>
    <col width="16" customWidth="1" min="31" max="31"/>
    <col width="16" customWidth="1" min="32" max="32"/>
  </cols>
  <sheetData>
    <row r="1">
      <c r="A1" s="2" t="inlineStr">
        <is>
          <t>row_id</t>
        </is>
      </c>
      <c r="B1" s="2" t="inlineStr">
        <is>
          <t>project_name</t>
        </is>
      </c>
      <c r="C1" s="1" t="inlineStr">
        <is>
          <t>buildings</t>
        </is>
      </c>
      <c r="D1" s="2" t="inlineStr">
        <is>
          <t>county_project_name</t>
        </is>
      </c>
      <c r="E1" s="2" t="inlineStr">
        <is>
          <t>primary_case_number</t>
        </is>
      </c>
      <c r="F1" s="2" t="inlineStr">
        <is>
          <t>all_case_numbers</t>
        </is>
      </c>
      <c r="G1" s="2" t="inlineStr">
        <is>
          <t>stage</t>
        </is>
      </c>
      <c r="H1" s="2" t="inlineStr">
        <is>
          <t>county_status_campus_layer</t>
        </is>
      </c>
      <c r="I1" s="2" t="inlineStr">
        <is>
          <t>county_status_pending_case</t>
        </is>
      </c>
      <c r="J1" s="2" t="inlineStr">
        <is>
          <t>eportal_status_primary_case</t>
        </is>
      </c>
      <c r="K1" s="2" t="inlineStr">
        <is>
          <t>stage_basis</t>
        </is>
      </c>
      <c r="L1" s="2" t="inlineStr">
        <is>
          <t>acreage</t>
        </is>
      </c>
      <c r="M1" s="2" t="inlineStr">
        <is>
          <t>planned_gfa_sf</t>
        </is>
      </c>
      <c r="N1" s="2" t="inlineStr">
        <is>
          <t>remaining_gfa_sf</t>
        </is>
      </c>
      <c r="O1" s="2" t="inlineStr">
        <is>
          <t>buildings_count</t>
        </is>
      </c>
      <c r="P1" s="2" t="inlineStr">
        <is>
          <t>building_status_counts</t>
        </is>
      </c>
      <c r="Q1" s="2" t="inlineStr">
        <is>
          <t>buildings_gfa_sum_sf</t>
        </is>
      </c>
      <c r="R1" s="2" t="inlineStr">
        <is>
          <t>magisterial_district</t>
        </is>
      </c>
      <c r="S1" s="2" t="inlineStr">
        <is>
          <t>in_dc_overlay_dcood</t>
        </is>
      </c>
      <c r="T1" s="2" t="inlineStr">
        <is>
          <t>zoning_district</t>
        </is>
      </c>
      <c r="U1" s="2" t="inlineStr">
        <is>
          <t>gpins</t>
        </is>
      </c>
      <c r="V1" s="2" t="inlineStr">
        <is>
          <t>addresses</t>
        </is>
      </c>
      <c r="W1" s="2" t="inlineStr">
        <is>
          <t>buildings</t>
        </is>
      </c>
      <c r="X1" s="2" t="inlineStr">
        <is>
          <t>building_permit_cases</t>
        </is>
      </c>
      <c r="Y1" s="2" t="inlineStr">
        <is>
          <t>pending_case_layer_cases</t>
        </is>
      </c>
      <c r="Z1" s="2" t="inlineStr">
        <is>
          <t>use_permit_cases</t>
        </is>
      </c>
      <c r="AA1" s="2" t="inlineStr">
        <is>
          <t>eportal_related_cases</t>
        </is>
      </c>
      <c r="AB1" s="2" t="inlineStr">
        <is>
          <t>site_plans_in_review</t>
        </is>
      </c>
      <c r="AC1" s="2" t="inlineStr">
        <is>
          <t>energov_id</t>
        </is>
      </c>
      <c r="AD1" s="2" t="inlineStr">
        <is>
          <t>source_layer</t>
        </is>
      </c>
      <c r="AE1" s="2" t="inlineStr">
        <is>
          <t>source_url</t>
        </is>
      </c>
      <c r="AF1" s="2" t="inlineStr">
        <is>
          <t>last_edit_date</t>
        </is>
      </c>
      <c r="AG1" s="2" t="inlineStr">
        <is>
          <t>notes</t>
        </is>
      </c>
    </row>
    <row r="2">
      <c r="A2" t="n">
        <v>1</v>
      </c>
      <c r="B2" t="inlineStr">
        <is>
          <t>Amazon Village Place Technology Park</t>
        </is>
      </c>
      <c r="C2" t="n">
        <v>4</v>
      </c>
      <c r="D2" t="inlineStr">
        <is>
          <t>Village Place Technology Park</t>
        </is>
      </c>
      <c r="E2" t="inlineStr">
        <is>
          <t>REZ2020-00024</t>
        </is>
      </c>
      <c r="F2" t="inlineStr">
        <is>
          <t>REZ2020-00024; SUP2020-00037</t>
        </is>
      </c>
      <c r="G2" t="inlineStr">
        <is>
          <t>Under Construction</t>
        </is>
      </c>
      <c r="H2" t="inlineStr">
        <is>
          <t>Planned</t>
        </is>
      </c>
      <c r="J2" t="inlineStr">
        <is>
          <t>Approved</t>
        </is>
      </c>
      <c r="K2" t="inlineStr">
        <is>
          <t>Rule 1: &gt;=1 building 'Under Construction' in layer 9</t>
        </is>
      </c>
      <c r="L2" t="n">
        <v>45.18</v>
      </c>
      <c r="M2" t="n">
        <v>978169</v>
      </c>
      <c r="N2" t="n">
        <v>978169</v>
      </c>
      <c r="O2" t="n">
        <v>4</v>
      </c>
      <c r="P2" t="inlineStr">
        <is>
          <t>Under Construction: 4</t>
        </is>
      </c>
      <c r="Q2" t="n">
        <v>217917</v>
      </c>
      <c r="R2" t="inlineStr">
        <is>
          <t>Gainesville</t>
        </is>
      </c>
      <c r="S2" t="inlineStr">
        <is>
          <t>No</t>
        </is>
      </c>
      <c r="T2" t="inlineStr">
        <is>
          <t>PMD</t>
        </is>
      </c>
      <c r="U2" t="inlineStr">
        <is>
          <t>7397-35-5597; 7397-35-8363; 7397-36-1468; 7397-36-2834</t>
        </is>
      </c>
      <c r="V2" t="inlineStr">
        <is>
          <t>14435 JOHN MARSHALL HWY; 14455 JOHN MARSHALL HWY; 14475 JOHN MARSHALL HWY; 14495 JOHN MARSHALL HWY</t>
        </is>
      </c>
      <c r="W2" t="inlineStr">
        <is>
          <t>Village Place Technology Park Bldg 1 (Under Construction); Village Place Technology Park Bldg 2 (Under Construction); Village Place Technology Park Bldg 3 (Under Construction); Village Place Technology Park Bldg 4 (Under Construction)</t>
        </is>
      </c>
      <c r="X2" t="inlineStr">
        <is>
          <t>BLD2023-01296 (Issued); BLD2023-04861 (Issued); BLD2023-07720 (Issued); BLD2024-03062 (Issued)</t>
        </is>
      </c>
      <c r="Z2" t="inlineStr">
        <is>
          <t>SUP2020-00037 [SUP; ACTIVE; approved 2021-06-14]</t>
        </is>
      </c>
      <c r="AA2" t="inlineStr">
        <is>
          <t>REZ2020-00024 [Rezoning - Proffer Amendment; Approved; case number]; SUP2020-00037 [Special Use Permit - New Application; Approved; case number REZ2020-00024 referenced in description]</t>
        </is>
      </c>
      <c r="AC2" t="inlineStr">
        <is>
          <t>1ea11347-1c8b-4847-b1a4-76194692023c</t>
        </is>
      </c>
      <c r="AD2" t="inlineStr">
        <is>
          <t>Build_Out_Analysis/10 (campuses); Build_Out_Analysis/9 (buildings); Planning/Zoning/6 (use permits); ePortal</t>
        </is>
      </c>
      <c r="AE2" t="inlineStr">
        <is>
          <t>https://gisweb.pwcva.gov/arcgis/rest/services/Planning/Build_Out_Analysis/MapServer/10/35?f=html | https://gisweb.pwcva.gov/arcgis/rest/services/Planning/Build_Out_Analysis/MapServer/9/query?where=GPIN IS NOT NULL&amp;outFields=*&amp;f=html (buildings joined spatially) | https://egcss.pwcgov.org/SelfService#/home</t>
        </is>
      </c>
      <c r="AF2" t="inlineStr">
        <is>
          <t>2026-09-25</t>
        </is>
      </c>
    </row>
    <row r="3">
      <c r="A3" t="n">
        <v>2</v>
      </c>
      <c r="B3" t="inlineStr">
        <is>
          <t>CloudHQ Manassas Corporate Center (MCC)</t>
        </is>
      </c>
      <c r="C3" t="n">
        <v>9</v>
      </c>
      <c r="D3" t="inlineStr">
        <is>
          <t>Airport Gateway Commerce Center I</t>
        </is>
      </c>
      <c r="E3" t="inlineStr">
        <is>
          <t>PLN2011-00437</t>
        </is>
      </c>
      <c r="F3" t="inlineStr">
        <is>
          <t>PLN2011-00437; REZ2024-00025</t>
        </is>
      </c>
      <c r="G3" t="inlineStr">
        <is>
          <t>Under Construction</t>
        </is>
      </c>
      <c r="H3" t="inlineStr">
        <is>
          <t>Planned</t>
        </is>
      </c>
      <c r="J3" t="inlineStr">
        <is>
          <t>Amended</t>
        </is>
      </c>
      <c r="K3" t="inlineStr">
        <is>
          <t>Rule 1: &gt;=1 building 'Under Construction' in layer 9</t>
        </is>
      </c>
      <c r="L3" t="n">
        <v>178.45</v>
      </c>
      <c r="M3" t="n">
        <v>2326576</v>
      </c>
      <c r="N3" t="n">
        <v>1518452</v>
      </c>
      <c r="O3" t="n">
        <v>9</v>
      </c>
      <c r="P3" t="inlineStr">
        <is>
          <t>Completed: 2; Planned: 5; Under Construction: 2</t>
        </is>
      </c>
      <c r="Q3" t="n">
        <v>2930147</v>
      </c>
      <c r="R3" t="inlineStr">
        <is>
          <t>Coles</t>
        </is>
      </c>
      <c r="S3" t="inlineStr">
        <is>
          <t>Yes</t>
        </is>
      </c>
      <c r="T3" t="inlineStr">
        <is>
          <t>M/T PBD</t>
        </is>
      </c>
      <c r="U3" t="inlineStr">
        <is>
          <t>7694-84-2446; 7694-85-3066; 7694-87-2108; 7694-87-3694; 7694-95-2326; 7694-95-7303; 7694-96-2732; 7794-06-4463</t>
        </is>
      </c>
      <c r="V3" t="inlineStr">
        <is>
          <t>10100 HARRY J PARRISH BLVD; 10105 HARRY J PARRISH BLVD; 10740 AIRMAN AVE; 10849 AIRMAN AVE; 10880 AIRMAN AVE; 10900 AIRMAN AVE; 10910 AIRMAN AVE; 10940 AIRMAN AVE</t>
        </is>
      </c>
      <c r="W3" t="inlineStr">
        <is>
          <t>CloudHQ Manassas Corporate Center 1 (Completed); CloudHQ Manassas Corporate Center 2 (Completed); CloudHQ Manassas Corporate Center 3 (Planned); CloudHQ Manassas Corporate Center 4 (Planned); CloudHQ Manassas Corporate Center 5 (Planned); CloudHQ Manassas Corporate Center 6A (Under Construction); CloudHQ Manassas Corporate Center 6B (Planned); CloudHQ Manassas Corporate Center 6C (Planned); CloudHQ Manassas Corporate Center 7 (Under Construction)</t>
        </is>
      </c>
      <c r="X3" t="inlineStr">
        <is>
          <t>BLD2016-05888 (Finaled); BLD2019-02023 (Finaled); BLD2020-04041 (Issued); BLD2026-04432 (Issued)</t>
        </is>
      </c>
      <c r="AA3" t="inlineStr">
        <is>
          <t>PLN2011-00437 [Rezoning - Proffer Amendment; Amended; case number]; REZ2024-00025 [Rezoning - Proffer Amendment; Approved; case number]; SPR2016-00304 [Site Plan - Final; Approved; GPIN (building parcel)]; SPR2017-00173 [Site Plan - Revision; Approved; GPIN (building parcel)]; SPR2017-00417 [Site Plan - Revision; Approved; GPIN (building parcel)]; SPR2018-00088 [Site Plan - Asbuilt Plan; Approved; GPIN (building parcel)]; SPR2024-00380 [Site Plan - Final; Approved; GPIN (building parcel)]</t>
        </is>
      </c>
      <c r="AC3" t="inlineStr">
        <is>
          <t>9ad88838-f931-4013-b253-716e33117c14</t>
        </is>
      </c>
      <c r="AD3" t="inlineStr">
        <is>
          <t>Build_Out_Analysis/10 (campuses); Build_Out_Analysis/9 (buildings); ePortal</t>
        </is>
      </c>
      <c r="AE3" t="inlineStr">
        <is>
          <t>https://gisweb.pwcva.gov/arcgis/rest/services/Planning/Build_Out_Analysis/MapServer/10/30?f=html | https://gisweb.pwcva.gov/arcgis/rest/services/Planning/Build_Out_Analysis/MapServer/9/query?where=GPIN IS NOT NULL&amp;outFields=*&amp;f=html (buildings joined spatially) | https://egcss.pwcgov.org/SelfService#/home</t>
        </is>
      </c>
      <c r="AF3" t="inlineStr">
        <is>
          <t>2026-09-25</t>
        </is>
      </c>
    </row>
    <row r="4">
      <c r="A4" t="n">
        <v>3</v>
      </c>
      <c r="B4" t="inlineStr">
        <is>
          <t>CloudHQ Manassas Data Center (MDC)</t>
        </is>
      </c>
      <c r="C4" t="n">
        <v>3</v>
      </c>
      <c r="D4" t="inlineStr">
        <is>
          <t>Ashwood Addition</t>
        </is>
      </c>
      <c r="E4" t="inlineStr">
        <is>
          <t>REZ2018-00001</t>
        </is>
      </c>
      <c r="F4" t="inlineStr">
        <is>
          <t>REZ2018-00001; REZ2023-00025</t>
        </is>
      </c>
      <c r="G4" t="inlineStr">
        <is>
          <t>Under Construction</t>
        </is>
      </c>
      <c r="H4" t="inlineStr">
        <is>
          <t>Planned</t>
        </is>
      </c>
      <c r="J4" t="inlineStr">
        <is>
          <t>Approved</t>
        </is>
      </c>
      <c r="K4" t="inlineStr">
        <is>
          <t>Rule 1: &gt;=1 building 'Under Construction' in layer 9</t>
        </is>
      </c>
      <c r="L4" t="n">
        <v>85.40000000000001</v>
      </c>
      <c r="M4" t="n">
        <v>1644498</v>
      </c>
      <c r="N4" t="n">
        <v>1644498</v>
      </c>
      <c r="O4" t="n">
        <v>3</v>
      </c>
      <c r="P4" t="inlineStr">
        <is>
          <t>Under Construction: 3</t>
        </is>
      </c>
      <c r="Q4" t="n">
        <v>1644249</v>
      </c>
      <c r="R4" t="inlineStr">
        <is>
          <t>Coles</t>
        </is>
      </c>
      <c r="S4" t="inlineStr">
        <is>
          <t>Yes</t>
        </is>
      </c>
      <c r="T4" t="inlineStr">
        <is>
          <t>M-2</t>
        </is>
      </c>
      <c r="U4" t="inlineStr">
        <is>
          <t>7695-41-6086; 7695-50-2882; 7695-50-9420</t>
        </is>
      </c>
      <c r="V4" t="inlineStr">
        <is>
          <t>10430 HARRY J PARRISH BLVD; 10450 HARRY J PARRISH BLVD; 10470 HARRY J PARRISH BLVD</t>
        </is>
      </c>
      <c r="W4" t="inlineStr">
        <is>
          <t>CloudHQ Manassas Data Center 1 (Under Construction); CloudHQ Manassas Data Center 2 (Under Construction); CloudHQ Manassas Data Center 3 (Under Construction)</t>
        </is>
      </c>
      <c r="X4" t="inlineStr">
        <is>
          <t>BLD2025-04928 (Issued); BLD2026-01701 (Issued); BLD2026-02951 (Issued)</t>
        </is>
      </c>
      <c r="AA4" t="inlineStr">
        <is>
          <t>REZ2018-00001 [Rezoning - Proffer Amendment; Approved; case number]; REZ2023-00025 [Rezoning - Proffer Amendment; Withdrawn; case number REZ2018-00001 referenced in description]</t>
        </is>
      </c>
      <c r="AC4" t="inlineStr">
        <is>
          <t>bac2c975-6f9e-462c-a9f0-d855015bd869</t>
        </is>
      </c>
      <c r="AD4" t="inlineStr">
        <is>
          <t>Build_Out_Analysis/10 (campuses); Build_Out_Analysis/9 (buildings); ePortal</t>
        </is>
      </c>
      <c r="AE4" t="inlineStr">
        <is>
          <t>https://gisweb.pwcva.gov/arcgis/rest/services/Planning/Build_Out_Analysis/MapServer/10/29?f=html | https://gisweb.pwcva.gov/arcgis/rest/services/Planning/Build_Out_Analysis/MapServer/9/query?where=GPIN IS NOT NULL&amp;outFields=*&amp;f=html (buildings joined spatially) | https://egcss.pwcgov.org/SelfService#/home</t>
        </is>
      </c>
      <c r="AF4" t="inlineStr">
        <is>
          <t>2026-09-25</t>
        </is>
      </c>
    </row>
    <row r="5">
      <c r="A5" t="n">
        <v>4</v>
      </c>
      <c r="B5" t="inlineStr">
        <is>
          <t>Digital Realty</t>
        </is>
      </c>
      <c r="C5" t="n">
        <v>2</v>
      </c>
      <c r="D5" t="inlineStr">
        <is>
          <t>Brickyard</t>
        </is>
      </c>
      <c r="E5" t="inlineStr">
        <is>
          <t>REZ2018-00002</t>
        </is>
      </c>
      <c r="F5" t="inlineStr">
        <is>
          <t>REZ2018-00002</t>
        </is>
      </c>
      <c r="G5" t="inlineStr">
        <is>
          <t>Under Construction</t>
        </is>
      </c>
      <c r="H5" t="inlineStr">
        <is>
          <t>Planned</t>
        </is>
      </c>
      <c r="J5" t="inlineStr">
        <is>
          <t>Approved</t>
        </is>
      </c>
      <c r="K5" t="inlineStr">
        <is>
          <t>Rule 1: &gt;=1 building 'Under Construction' in layer 9</t>
        </is>
      </c>
      <c r="L5" t="n">
        <v>61.47</v>
      </c>
      <c r="M5" t="n">
        <v>1602558</v>
      </c>
      <c r="N5" t="n">
        <v>802135</v>
      </c>
      <c r="O5" t="n">
        <v>2</v>
      </c>
      <c r="P5" t="inlineStr">
        <is>
          <t>Completed: 1; Under Construction: 1</t>
        </is>
      </c>
      <c r="Q5" t="n">
        <v>1617620</v>
      </c>
      <c r="R5" t="inlineStr">
        <is>
          <t>Coles</t>
        </is>
      </c>
      <c r="S5" t="inlineStr">
        <is>
          <t>Yes</t>
        </is>
      </c>
      <c r="T5" t="inlineStr">
        <is>
          <t>M-1</t>
        </is>
      </c>
      <c r="U5" t="inlineStr">
        <is>
          <t>7695-53-6537; 7695-53-9602</t>
        </is>
      </c>
      <c r="V5" t="inlineStr">
        <is>
          <t>10050 BRICKYARD WAY; 10051 BRICKYARD WAY</t>
        </is>
      </c>
      <c r="W5" t="inlineStr">
        <is>
          <t>DLR IAD-50 (Under Construction); DLR IAD-51 (Completed)</t>
        </is>
      </c>
      <c r="X5" t="inlineStr">
        <is>
          <t>BLD2024-02491 (Finaled); BLD2025-02545 (Issued)</t>
        </is>
      </c>
      <c r="AA5" t="inlineStr">
        <is>
          <t>REZ2018-00002 [Rezoning - Proffer Amendment; Approved; case number]</t>
        </is>
      </c>
      <c r="AC5" t="inlineStr">
        <is>
          <t>5b9b1adb-eadd-43e0-aa7f-4fe0a600d4f2</t>
        </is>
      </c>
      <c r="AD5" t="inlineStr">
        <is>
          <t>Build_Out_Analysis/10 (campuses); Build_Out_Analysis/9 (buildings); ePortal</t>
        </is>
      </c>
      <c r="AE5" t="inlineStr">
        <is>
          <t>https://gisweb.pwcva.gov/arcgis/rest/services/Planning/Build_Out_Analysis/MapServer/10/28?f=html | https://gisweb.pwcva.gov/arcgis/rest/services/Planning/Build_Out_Analysis/MapServer/9/query?where=GPIN IS NOT NULL&amp;outFields=*&amp;f=html (buildings joined spatially) | https://egcss.pwcgov.org/SelfService#/home</t>
        </is>
      </c>
      <c r="AF5" t="inlineStr">
        <is>
          <t>2026-09-25</t>
        </is>
      </c>
    </row>
    <row r="6">
      <c r="A6" t="n">
        <v>5</v>
      </c>
      <c r="B6" t="inlineStr">
        <is>
          <t>George Mason Research Park</t>
        </is>
      </c>
      <c r="C6" t="n">
        <v>3</v>
      </c>
      <c r="D6" t="inlineStr">
        <is>
          <t>NVA05A &amp; NVA05B Proffer Amendment</t>
        </is>
      </c>
      <c r="E6" t="inlineStr">
        <is>
          <t>REZ2024-00009</t>
        </is>
      </c>
      <c r="F6" t="inlineStr">
        <is>
          <t>REZ2024-00009; REZ2024-00042</t>
        </is>
      </c>
      <c r="G6" t="inlineStr">
        <is>
          <t>Under Construction</t>
        </is>
      </c>
      <c r="H6" t="inlineStr">
        <is>
          <t>Planned</t>
        </is>
      </c>
      <c r="J6" t="inlineStr">
        <is>
          <t>Approved</t>
        </is>
      </c>
      <c r="K6" t="inlineStr">
        <is>
          <t>Rule 1: &gt;=1 building 'Under Construction' in layer 9</t>
        </is>
      </c>
      <c r="L6" t="n">
        <v>46.18</v>
      </c>
      <c r="M6" t="n">
        <v>711418</v>
      </c>
      <c r="N6" t="n">
        <v>440878</v>
      </c>
      <c r="O6" t="n">
        <v>3</v>
      </c>
      <c r="P6" t="inlineStr">
        <is>
          <t>Completed: 1; Under Construction: 2</t>
        </is>
      </c>
      <c r="Q6" t="n">
        <v>711418</v>
      </c>
      <c r="R6" t="inlineStr">
        <is>
          <t>Brentsville</t>
        </is>
      </c>
      <c r="S6" t="inlineStr">
        <is>
          <t>Yes</t>
        </is>
      </c>
      <c r="T6" t="inlineStr">
        <is>
          <t>PBD</t>
        </is>
      </c>
      <c r="U6" t="inlineStr">
        <is>
          <t>7696-30-4783; 7696-31-9262; 7696-41-6854</t>
        </is>
      </c>
      <c r="V6" t="inlineStr">
        <is>
          <t>8930 WELLINGTON RD; 9001 FREEDOM CENTER BLVD; 9101 FREEDOM CENTER BLVD</t>
        </is>
      </c>
      <c r="W6" t="inlineStr">
        <is>
          <t>Stack Northern Virginia NVA05A (Completed); Stack Northern Virginia NVA05B (Under Construction); Stack Northern Virginia NVA05C (Under Construction)</t>
        </is>
      </c>
      <c r="X6" t="inlineStr">
        <is>
          <t>BLD2023-00562 (Finaled); BLD2025-03019 (Issued); BLD2025-03129 (Issued)</t>
        </is>
      </c>
      <c r="AA6" t="inlineStr">
        <is>
          <t>REZ2024-00009 [Rezoning - Proffer Amendment; Approved; case number]; REZ2024-00042 [Rezoning - Non-Residential; Approved; case number]</t>
        </is>
      </c>
      <c r="AC6" t="inlineStr">
        <is>
          <t>19004ff1-7e88-4661-9d3f-ad33ecaa1da2</t>
        </is>
      </c>
      <c r="AD6" t="inlineStr">
        <is>
          <t>Build_Out_Analysis/10 (campuses); Build_Out_Analysis/9 (buildings); ePortal</t>
        </is>
      </c>
      <c r="AE6" t="inlineStr">
        <is>
          <t>https://gisweb.pwcva.gov/arcgis/rest/services/Planning/Build_Out_Analysis/MapServer/10/22?f=html | https://gisweb.pwcva.gov/arcgis/rest/services/Planning/Build_Out_Analysis/MapServer/9/query?where=GPIN IS NOT NULL&amp;outFields=*&amp;f=html (buildings joined spatially) | https://egcss.pwcgov.org/SelfService#/home</t>
        </is>
      </c>
      <c r="AF6" t="inlineStr">
        <is>
          <t>2026-09-25</t>
        </is>
      </c>
    </row>
    <row r="7">
      <c r="A7" t="n">
        <v>6</v>
      </c>
      <c r="B7" t="inlineStr">
        <is>
          <t>Manassas Tech Center</t>
        </is>
      </c>
      <c r="C7" t="n">
        <v>3</v>
      </c>
      <c r="D7" t="inlineStr">
        <is>
          <t>Manassas Tech Center PRA</t>
        </is>
      </c>
      <c r="E7" t="inlineStr">
        <is>
          <t>REZ2026-00022</t>
        </is>
      </c>
      <c r="F7" t="inlineStr">
        <is>
          <t>REZ2026-00022</t>
        </is>
      </c>
      <c r="G7" t="inlineStr">
        <is>
          <t>Under Construction</t>
        </is>
      </c>
      <c r="H7" t="inlineStr">
        <is>
          <t>Pending</t>
        </is>
      </c>
      <c r="J7" t="inlineStr">
        <is>
          <t>Approved</t>
        </is>
      </c>
      <c r="K7" t="inlineStr">
        <is>
          <t>Rule 1: &gt;=1 building 'Under Construction' in layer 9</t>
        </is>
      </c>
      <c r="L7" t="n">
        <v>40.41</v>
      </c>
      <c r="M7" t="n">
        <v>696554</v>
      </c>
      <c r="N7" t="n">
        <v>696554</v>
      </c>
      <c r="O7" t="n">
        <v>3</v>
      </c>
      <c r="P7" t="inlineStr">
        <is>
          <t>Planned: 2; Under Construction: 1</t>
        </is>
      </c>
      <c r="Q7" t="n">
        <v>686721</v>
      </c>
      <c r="R7" t="inlineStr">
        <is>
          <t>Brentsville</t>
        </is>
      </c>
      <c r="S7" t="inlineStr">
        <is>
          <t>Yes</t>
        </is>
      </c>
      <c r="T7" t="inlineStr">
        <is>
          <t>PBD PMD</t>
        </is>
      </c>
      <c r="U7" t="inlineStr">
        <is>
          <t>7596-61-8378; 7596-62-9148</t>
        </is>
      </c>
      <c r="V7" t="inlineStr">
        <is>
          <t>8880 MIKE GARCIA DR; 8881 MIKE GARCIA DR; 8890 MIKE GARCIA DR</t>
        </is>
      </c>
      <c r="W7" t="inlineStr">
        <is>
          <t>Manassas Tech Center Building A (Under Construction); Manassas Tech Center Building B (Planned); Manassas Tech Center Building C (Planned)</t>
        </is>
      </c>
      <c r="X7" t="inlineStr">
        <is>
          <t>BLD2025-00144 (Issued); BLD2026-06372 (Planned)</t>
        </is>
      </c>
      <c r="AA7" t="inlineStr">
        <is>
          <t>REZ2026-00022 [Rezoning - Proffer Amendment; Approved; case number]</t>
        </is>
      </c>
      <c r="AC7" t="inlineStr">
        <is>
          <t>7bbe6460-60e2-41f9-99a4-a5e725b52010</t>
        </is>
      </c>
      <c r="AD7" t="inlineStr">
        <is>
          <t>Build_Out_Analysis/10 (campuses); Build_Out_Analysis/9 (buildings); ePortal</t>
        </is>
      </c>
      <c r="AE7" t="inlineStr">
        <is>
          <t>https://gisweb.pwcva.gov/arcgis/rest/services/Planning/Build_Out_Analysis/MapServer/10/16?f=html | https://gisweb.pwcva.gov/arcgis/rest/services/Planning/Build_Out_Analysis/MapServer/9/query?where=GPIN IS NOT NULL&amp;outFields=*&amp;f=html (buildings joined spatially) | https://egcss.pwcgov.org/SelfService#/home</t>
        </is>
      </c>
      <c r="AF7" t="inlineStr">
        <is>
          <t>2026-09-25</t>
        </is>
      </c>
      <c r="AG7" t="inlineStr">
        <is>
          <t>Campus case is county-Pending but a building is Under Construction (stage per rule 1); ePortal shows primary case Approved while campus layer says Pending (county data conflict)</t>
        </is>
      </c>
    </row>
    <row r="8">
      <c r="A8" t="n">
        <v>7</v>
      </c>
      <c r="B8" t="inlineStr">
        <is>
          <t>Microsoft Azure Gainesville Tech Park</t>
        </is>
      </c>
      <c r="C8" t="n">
        <v>4</v>
      </c>
      <c r="D8" t="inlineStr">
        <is>
          <t>Gainesville Tech Park</t>
        </is>
      </c>
      <c r="E8" t="inlineStr">
        <is>
          <t>REZ2020-00011</t>
        </is>
      </c>
      <c r="F8" t="inlineStr">
        <is>
          <t>REZ2020-00011</t>
        </is>
      </c>
      <c r="G8" t="inlineStr">
        <is>
          <t>Under Construction</t>
        </is>
      </c>
      <c r="H8" t="inlineStr">
        <is>
          <t>Planned</t>
        </is>
      </c>
      <c r="J8" t="inlineStr">
        <is>
          <t>Approved</t>
        </is>
      </c>
      <c r="K8" t="inlineStr">
        <is>
          <t>Rule 1: &gt;=1 building 'Under Construction' in layer 9</t>
        </is>
      </c>
      <c r="L8" t="n">
        <v>83.13</v>
      </c>
      <c r="M8" t="n">
        <v>1245499</v>
      </c>
      <c r="N8" t="n">
        <v>1245499</v>
      </c>
      <c r="O8" t="n">
        <v>4</v>
      </c>
      <c r="P8" t="inlineStr">
        <is>
          <t>Planned: 3; Under Construction: 1</t>
        </is>
      </c>
      <c r="Q8" t="n">
        <v>1430352</v>
      </c>
      <c r="R8" t="inlineStr">
        <is>
          <t>Brentsville</t>
        </is>
      </c>
      <c r="S8" t="inlineStr">
        <is>
          <t>Yes</t>
        </is>
      </c>
      <c r="T8" t="inlineStr">
        <is>
          <t>M-2</t>
        </is>
      </c>
      <c r="U8" t="inlineStr">
        <is>
          <t>7496-88-1217</t>
        </is>
      </c>
      <c r="V8" t="inlineStr">
        <is>
          <t>13060 HANSEN FARM RD; 13062 HANSEN FARM RD; 13064 HANSEN FARM RD; 13066 HANSEN FARM RD</t>
        </is>
      </c>
      <c r="W8" t="inlineStr">
        <is>
          <t>Microsoft Azure MNZ03 (Under Construction); Microsoft Azure MNZ04 (Planned); Microsoft Azure MNZ05 (Planned); Microsoft Azure MNZ06 (Planned)</t>
        </is>
      </c>
      <c r="X8" t="inlineStr">
        <is>
          <t>&lt;Null&gt; (Planned); BLD2023-07492 (Issued); BLD2025-02384 (Planned)</t>
        </is>
      </c>
      <c r="AA8" t="inlineStr">
        <is>
          <t>REZ2020-00011 [Rezoning - Non-Residential; Approved; case number]</t>
        </is>
      </c>
      <c r="AC8" t="inlineStr">
        <is>
          <t>01fffe17-1fdc-46e3-bd5c-f5795320e7e6</t>
        </is>
      </c>
      <c r="AD8" t="inlineStr">
        <is>
          <t>Build_Out_Analysis/10 (campuses); Build_Out_Analysis/9 (buildings); ePortal</t>
        </is>
      </c>
      <c r="AE8" t="inlineStr">
        <is>
          <t>https://gisweb.pwcva.gov/arcgis/rest/services/Planning/Build_Out_Analysis/MapServer/10/5?f=html | https://gisweb.pwcva.gov/arcgis/rest/services/Planning/Build_Out_Analysis/MapServer/9/query?where=GPIN IS NOT NULL&amp;outFields=*&amp;f=html (buildings joined spatially) | https://egcss.pwcgov.org/SelfService#/home</t>
        </is>
      </c>
      <c r="AF8" t="inlineStr">
        <is>
          <t>2026-09-25</t>
        </is>
      </c>
    </row>
    <row r="9">
      <c r="A9" t="n">
        <v>8</v>
      </c>
      <c r="B9" t="inlineStr">
        <is>
          <t>NTT Grove at Gainesville</t>
        </is>
      </c>
      <c r="C9" t="n">
        <v>4</v>
      </c>
      <c r="D9" t="inlineStr">
        <is>
          <t>I-66 &amp; Route 29 Technology Park</t>
        </is>
      </c>
      <c r="E9" t="inlineStr">
        <is>
          <t>REZ2021-00001</t>
        </is>
      </c>
      <c r="F9" t="inlineStr">
        <is>
          <t>REZ2021-00001; SUP2021-00002</t>
        </is>
      </c>
      <c r="G9" t="inlineStr">
        <is>
          <t>Under Construction</t>
        </is>
      </c>
      <c r="H9" t="inlineStr">
        <is>
          <t>Planned</t>
        </is>
      </c>
      <c r="J9" t="inlineStr">
        <is>
          <t>Approved</t>
        </is>
      </c>
      <c r="K9" t="inlineStr">
        <is>
          <t>Rule 1: &gt;=1 building 'Under Construction' in layer 9</t>
        </is>
      </c>
      <c r="L9" t="n">
        <v>90.90000000000001</v>
      </c>
      <c r="M9" t="n">
        <v>2279176</v>
      </c>
      <c r="N9" t="n">
        <v>2279176</v>
      </c>
      <c r="O9" t="n">
        <v>4</v>
      </c>
      <c r="P9" t="inlineStr">
        <is>
          <t>Planned: 1; Under Construction: 3</t>
        </is>
      </c>
      <c r="Q9" t="n">
        <v>2279176</v>
      </c>
      <c r="R9" t="inlineStr">
        <is>
          <t>Gainesville</t>
        </is>
      </c>
      <c r="S9" t="inlineStr">
        <is>
          <t>No</t>
        </is>
      </c>
      <c r="T9" t="inlineStr">
        <is>
          <t>B-1</t>
        </is>
      </c>
      <c r="U9" t="inlineStr">
        <is>
          <t>7397-56-8403</t>
        </is>
      </c>
      <c r="V9" t="inlineStr">
        <is>
          <t>7151 CATHARPIN RD; 7250 GROVE HILL BLVD; 7251 GROVE HILL BLVD; 7253 GROVE HILL BLVD</t>
        </is>
      </c>
      <c r="W9" t="inlineStr">
        <is>
          <t>NTT Grove at Gainesville VA10 (Under Construction); NTT Grove at Gainesville VA11 (Under Construction); NTT Grove at Gainesville VA12 (Under Construction); NTT Grove at Gainesville VA13 (Planned)</t>
        </is>
      </c>
      <c r="X9" t="inlineStr">
        <is>
          <t>BLD2023-05471 (Issued); BLD2025-04670 (Issued); BLD2026-05831 (Issued)</t>
        </is>
      </c>
      <c r="Z9" t="inlineStr">
        <is>
          <t>SUP2021-00002 [SUP; ACTIVE; approved 2021-12-06]</t>
        </is>
      </c>
      <c r="AA9" t="inlineStr">
        <is>
          <t>REZ2021-00001 [Rezoning - Proffer Amendment; Approved; case number]; SPR2026-00342 [Site Plan - Revision; Approved; GPIN (building parcel)]; SUP2021-00002 [Special Use Permit - New Application; Approved; case number REZ2021-00001 referenced in description]</t>
        </is>
      </c>
      <c r="AC9" t="inlineStr">
        <is>
          <t>4f041cf7-c8de-4afd-a4e3-f12ba520a0cd</t>
        </is>
      </c>
      <c r="AD9" t="inlineStr">
        <is>
          <t>Build_Out_Analysis/10 (campuses); Build_Out_Analysis/9 (buildings); Planning/Zoning/6 (use permits); ePortal</t>
        </is>
      </c>
      <c r="AE9" t="inlineStr">
        <is>
          <t>https://gisweb.pwcva.gov/arcgis/rest/services/Planning/Build_Out_Analysis/MapServer/10/34?f=html | https://gisweb.pwcva.gov/arcgis/rest/services/Planning/Build_Out_Analysis/MapServer/9/query?where=GPIN IS NOT NULL&amp;outFields=*&amp;f=html (buildings joined spatially) | https://egcss.pwcgov.org/SelfService#/home</t>
        </is>
      </c>
      <c r="AF9" t="inlineStr">
        <is>
          <t>2026-09-25</t>
        </is>
      </c>
    </row>
    <row r="10">
      <c r="A10" t="n">
        <v>9</v>
      </c>
      <c r="B10" t="inlineStr">
        <is>
          <t>Project Gainesville</t>
        </is>
      </c>
      <c r="C10" t="n">
        <v>4</v>
      </c>
      <c r="D10" t="inlineStr">
        <is>
          <t>BOCS-ARC</t>
        </is>
      </c>
      <c r="E10" t="inlineStr">
        <is>
          <t>REZ1958-0021</t>
        </is>
      </c>
      <c r="F10" t="inlineStr">
        <is>
          <t>REZ1958-0021; SUP2023-00006</t>
        </is>
      </c>
      <c r="G10" t="inlineStr">
        <is>
          <t>Under Construction</t>
        </is>
      </c>
      <c r="H10" t="inlineStr">
        <is>
          <t>Planned</t>
        </is>
      </c>
      <c r="K10" t="inlineStr">
        <is>
          <t>Rule 1: &gt;=1 building 'Under Construction' in layer 9</t>
        </is>
      </c>
      <c r="L10" t="n">
        <v>58.54</v>
      </c>
      <c r="M10" t="n">
        <v>943981</v>
      </c>
      <c r="N10" t="n">
        <v>943981</v>
      </c>
      <c r="O10" t="n">
        <v>4</v>
      </c>
      <c r="P10" t="inlineStr">
        <is>
          <t>Under Construction: 4</t>
        </is>
      </c>
      <c r="Q10" t="n">
        <v>943981</v>
      </c>
      <c r="R10" t="inlineStr">
        <is>
          <t>Brentsville</t>
        </is>
      </c>
      <c r="S10" t="inlineStr">
        <is>
          <t>Yes</t>
        </is>
      </c>
      <c r="T10" t="inlineStr">
        <is>
          <t>M-1</t>
        </is>
      </c>
      <c r="U10" t="inlineStr">
        <is>
          <t>7497-41-7199</t>
        </is>
      </c>
      <c r="V10" t="inlineStr">
        <is>
          <t>7675 DEACON FALLS DR; 7701 DEACON FALLS DR; 7725 DEACON FALLS DR; 7751 DEACON FALLS DR</t>
        </is>
      </c>
      <c r="W10" t="inlineStr">
        <is>
          <t>Amazon AWS IAD A (Under Construction); Amazon AWS IAD B (Under Construction); Amazon AWS IAD C (Under Construction); Amazon AWS IAD D (Under Construction)</t>
        </is>
      </c>
      <c r="X10" t="inlineStr">
        <is>
          <t>BLD2022-05922 (Issued); BLD2024-05622 (Issued); BLD2026-00592 (Issued); BLD2026-00593 (Issued)</t>
        </is>
      </c>
      <c r="AA10" t="inlineStr">
        <is>
          <t>SUP2023-00006 [Special Use - Modification to Development Standards; Withdrawn; GPIN (building parcel)]</t>
        </is>
      </c>
      <c r="AC10" t="inlineStr">
        <is>
          <t>7b3b0a5f-c395-47c0-99c0-eb53f411acb3</t>
        </is>
      </c>
      <c r="AD10" t="inlineStr">
        <is>
          <t>Build_Out_Analysis/10 (campuses); Build_Out_Analysis/9 (buildings); ePortal</t>
        </is>
      </c>
      <c r="AE10" t="inlineStr">
        <is>
          <t>https://gisweb.pwcva.gov/arcgis/rest/services/Planning/Build_Out_Analysis/MapServer/10/83?f=html | https://gisweb.pwcva.gov/arcgis/rest/services/Planning/Build_Out_Analysis/MapServer/9/query?where=GPIN IS NOT NULL&amp;outFields=*&amp;f=html (buildings joined spatially) | https://egcss.pwcgov.org/SelfService#/home</t>
        </is>
      </c>
      <c r="AF10" t="inlineStr">
        <is>
          <t>2026-09-25</t>
        </is>
      </c>
    </row>
    <row r="11">
      <c r="A11" t="n">
        <v>10</v>
      </c>
      <c r="B11" t="inlineStr">
        <is>
          <t>QTS Manassas 1</t>
        </is>
      </c>
      <c r="C11" t="n">
        <v>6</v>
      </c>
      <c r="D11" t="inlineStr">
        <is>
          <t>IBM</t>
        </is>
      </c>
      <c r="E11" t="inlineStr">
        <is>
          <t>REZ1980-0030</t>
        </is>
      </c>
      <c r="F11" t="inlineStr">
        <is>
          <t>REZ1980-0030; REZ2020-00019; REZ2023-00002</t>
        </is>
      </c>
      <c r="G11" t="inlineStr">
        <is>
          <t>Under Construction</t>
        </is>
      </c>
      <c r="H11" t="inlineStr">
        <is>
          <t>Planned</t>
        </is>
      </c>
      <c r="K11" t="inlineStr">
        <is>
          <t>Rule 1: &gt;=1 building 'Under Construction' in layer 9</t>
        </is>
      </c>
      <c r="L11" t="n">
        <v>109.36</v>
      </c>
      <c r="M11" t="n">
        <v>1356387</v>
      </c>
      <c r="N11" t="n">
        <v>515582</v>
      </c>
      <c r="O11" t="n">
        <v>6</v>
      </c>
      <c r="P11" t="inlineStr">
        <is>
          <t>Completed: 4; Under Construction: 2</t>
        </is>
      </c>
      <c r="Q11" t="n">
        <v>1356387</v>
      </c>
      <c r="R11" t="inlineStr">
        <is>
          <t>Brentsville</t>
        </is>
      </c>
      <c r="S11" t="inlineStr">
        <is>
          <t>Yes</t>
        </is>
      </c>
      <c r="T11" t="inlineStr">
        <is>
          <t>M-2 PBD</t>
        </is>
      </c>
      <c r="U11" t="inlineStr">
        <is>
          <t>7695-38-4851; 7695-39-0644; 7695-47-3376; 7695-48-1668; 7695-48-5650; 7695-58-1491</t>
        </is>
      </c>
      <c r="V11" t="inlineStr">
        <is>
          <t>9301 FREEDOM CENTER BLVD; 9351 FREEDOM CENTER BLVD; 9400 GODWIN DR; 9420 GODWIN DR; 9450 GODWIN DR; 9540 GODWIN DR</t>
        </is>
      </c>
      <c r="W11" t="inlineStr">
        <is>
          <t>QTS Manassas DC1 (Completed); QTS Manassas DC2 (Completed); QTS Manassas DC3 (Completed); QTS Manassas DC4 (Under Construction); QTS Manassas DC5 (Completed); QTS Manassas DC6 (Under Construction)</t>
        </is>
      </c>
      <c r="X11" t="inlineStr">
        <is>
          <t>BLD2018-06634 (Finaled); BLD2021-04300 (Finaled); BLD2022-06119 (Finaled); BLD2023-04643 (Finaled); BLD2024-06788 (Issued); BLD2025-03459 (Issued)</t>
        </is>
      </c>
      <c r="AA11" t="inlineStr">
        <is>
          <t>REZ2020-00019 [Rezoning - Non-Residential; Approved; case number]; REZ2023-00002 [Rezoning - Proffer Amendment; Approved; case number]</t>
        </is>
      </c>
      <c r="AC11" t="inlineStr">
        <is>
          <t>81cc348e-ba85-4c9b-9dc9-2a31c19aa522</t>
        </is>
      </c>
      <c r="AD11" t="inlineStr">
        <is>
          <t>Build_Out_Analysis/10 (campuses); Build_Out_Analysis/9 (buildings); ePortal</t>
        </is>
      </c>
      <c r="AE11" t="inlineStr">
        <is>
          <t>https://gisweb.pwcva.gov/arcgis/rest/services/Planning/Build_Out_Analysis/MapServer/10/23?f=html | https://gisweb.pwcva.gov/arcgis/rest/services/Planning/Build_Out_Analysis/MapServer/9/query?where=GPIN IS NOT NULL&amp;outFields=*&amp;f=html (buildings joined spatially) | https://egcss.pwcgov.org/SelfService#/home</t>
        </is>
      </c>
      <c r="AF11" t="inlineStr">
        <is>
          <t>2026-09-25</t>
        </is>
      </c>
    </row>
    <row r="12">
      <c r="A12" t="n">
        <v>11</v>
      </c>
      <c r="B12" t="inlineStr">
        <is>
          <t>South Point Phase II</t>
        </is>
      </c>
      <c r="C12" t="n">
        <v>2</v>
      </c>
      <c r="D12" t="inlineStr">
        <is>
          <t>South Point Phase II</t>
        </is>
      </c>
      <c r="E12" t="inlineStr">
        <is>
          <t>REZ2020-00021</t>
        </is>
      </c>
      <c r="F12" t="inlineStr">
        <is>
          <t>REZ2020-00021</t>
        </is>
      </c>
      <c r="G12" t="inlineStr">
        <is>
          <t>Under Construction</t>
        </is>
      </c>
      <c r="H12" t="inlineStr">
        <is>
          <t>Planned</t>
        </is>
      </c>
      <c r="J12" t="inlineStr">
        <is>
          <t>Approved</t>
        </is>
      </c>
      <c r="K12" t="inlineStr">
        <is>
          <t>Rule 1: &gt;=1 building 'Under Construction' in layer 9</t>
        </is>
      </c>
      <c r="L12" t="n">
        <v>22.22</v>
      </c>
      <c r="M12" t="n">
        <v>530000</v>
      </c>
      <c r="N12" t="n">
        <v>399966</v>
      </c>
      <c r="O12" t="n">
        <v>2</v>
      </c>
      <c r="P12" t="inlineStr">
        <is>
          <t>Completed: 1; Under Construction: 1</t>
        </is>
      </c>
      <c r="Q12" t="n">
        <v>482934</v>
      </c>
      <c r="R12" t="inlineStr">
        <is>
          <t>Brentsville</t>
        </is>
      </c>
      <c r="S12" t="inlineStr">
        <is>
          <t>Yes</t>
        </is>
      </c>
      <c r="T12" t="inlineStr">
        <is>
          <t>M-2</t>
        </is>
      </c>
      <c r="U12" t="inlineStr">
        <is>
          <t>7596-16-5979; 7596-27-0053</t>
        </is>
      </c>
      <c r="V12" t="inlineStr">
        <is>
          <t>8300 BUCKEYE TIMBER DR; 8400 BUCKEYE TIMBER DR</t>
        </is>
      </c>
      <c r="W12" t="inlineStr">
        <is>
          <t>South Point Phase II Building A (Completed); South Point Phase II Building B (Under Construction)</t>
        </is>
      </c>
      <c r="X12" t="inlineStr">
        <is>
          <t>BLD2024-01532 (Finaled); BLD2025-00827 (Issued)</t>
        </is>
      </c>
      <c r="AA12" t="inlineStr">
        <is>
          <t>REZ2020-00021 [Rezoning - Proffer Amendment; Approved; case number]</t>
        </is>
      </c>
      <c r="AC12" t="inlineStr">
        <is>
          <t>50945ad4-3eb2-48ff-be0f-fbede2cfd419</t>
        </is>
      </c>
      <c r="AD12" t="inlineStr">
        <is>
          <t>Build_Out_Analysis/10 (campuses); Build_Out_Analysis/9 (buildings); ePortal</t>
        </is>
      </c>
      <c r="AE12" t="inlineStr">
        <is>
          <t>https://gisweb.pwcva.gov/arcgis/rest/services/Planning/Build_Out_Analysis/MapServer/10/13?f=html | https://gisweb.pwcva.gov/arcgis/rest/services/Planning/Build_Out_Analysis/MapServer/9/query?where=GPIN IS NOT NULL&amp;outFields=*&amp;f=html (buildings joined spatially) | https://egcss.pwcgov.org/SelfService#/home</t>
        </is>
      </c>
      <c r="AF12" t="inlineStr">
        <is>
          <t>2026-09-25</t>
        </is>
      </c>
    </row>
    <row r="13">
      <c r="A13" t="n">
        <v>12</v>
      </c>
      <c r="B13" t="inlineStr">
        <is>
          <t>Stack Infrastructure NVA02 Manassas</t>
        </is>
      </c>
      <c r="C13" t="n">
        <v>7</v>
      </c>
      <c r="D13" t="inlineStr">
        <is>
          <t>Avanti at Innovation PRA</t>
        </is>
      </c>
      <c r="E13" t="inlineStr">
        <is>
          <t>REZ2019-00028</t>
        </is>
      </c>
      <c r="F13" t="inlineStr">
        <is>
          <t>REZ2019-00028</t>
        </is>
      </c>
      <c r="G13" t="inlineStr">
        <is>
          <t>Under Construction</t>
        </is>
      </c>
      <c r="H13" t="inlineStr">
        <is>
          <t>Planned</t>
        </is>
      </c>
      <c r="J13" t="inlineStr">
        <is>
          <t>Approved</t>
        </is>
      </c>
      <c r="K13" t="inlineStr">
        <is>
          <t>Rule 1: &gt;=1 building 'Under Construction' in layer 9</t>
        </is>
      </c>
      <c r="L13" t="n">
        <v>86.11</v>
      </c>
      <c r="M13" t="n">
        <v>1559831</v>
      </c>
      <c r="N13" t="n">
        <v>553730</v>
      </c>
      <c r="O13" t="n">
        <v>7</v>
      </c>
      <c r="P13" t="inlineStr">
        <is>
          <t>Completed: 5; Under Construction: 2</t>
        </is>
      </c>
      <c r="Q13" t="n">
        <v>1191904</v>
      </c>
      <c r="R13" t="inlineStr">
        <is>
          <t>Brentsville</t>
        </is>
      </c>
      <c r="S13" t="inlineStr">
        <is>
          <t>Yes</t>
        </is>
      </c>
      <c r="T13" t="inlineStr">
        <is>
          <t>PBD</t>
        </is>
      </c>
      <c r="U13" t="inlineStr">
        <is>
          <t>7595-65-9789; 7595-75-3611; 7595-76-2590; 7595-76-6544; 7595-85-3742; 7595-85-6929</t>
        </is>
      </c>
      <c r="V13" t="inlineStr">
        <is>
          <t>9530 HORNBAKER RD; 9570 HORNBAKER RD; 9590 HORNBAKER RD; 9640 HORNBAKER RD; 9730 HORNBAKER RD; 9740 HORNBAKER RD; 9750 HORNBAKER RD</t>
        </is>
      </c>
      <c r="W13" t="inlineStr">
        <is>
          <t>Stack Northern Virginia NVA02A (Completed); Stack Northern Virginia NVA02B (Completed); Stack Northern Virginia NVA02C (Completed); Stack Northern Virginia NVA02D (Completed); Stack Northern Virginia NVA02E (Completed); Stack Northern Virginia NVA02F (Under Construction); Stack Northern Virginia NVA02G (Under Construction)</t>
        </is>
      </c>
      <c r="X13" t="inlineStr">
        <is>
          <t>BLD2021-02881 (Finaled); BLD2022-00534 (Finaled); BLD2022-01720 (Finaled); BLD2022-07412 (Finaled); BLD2023-03853 (Finaled); BLD2024-05348 (Issued); BLD2025-01136 (Issued)</t>
        </is>
      </c>
      <c r="AA13" t="inlineStr">
        <is>
          <t>REZ2019-00028 [Rezoning - Proffer Amendment; Approved; case number]; SPR2020-00363 [Site Plan - Final; Approved; name exact]</t>
        </is>
      </c>
      <c r="AC13" t="inlineStr">
        <is>
          <t>08eefd48-2ab4-438d-9d00-e80397055cff</t>
        </is>
      </c>
      <c r="AD13" t="inlineStr">
        <is>
          <t>Build_Out_Analysis/10 (campuses); Build_Out_Analysis/9 (buildings); ePortal</t>
        </is>
      </c>
      <c r="AE13" t="inlineStr">
        <is>
          <t>https://gisweb.pwcva.gov/arcgis/rest/services/Planning/Build_Out_Analysis/MapServer/10/47?f=html | https://gisweb.pwcva.gov/arcgis/rest/services/Planning/Build_Out_Analysis/MapServer/9/query?where=GPIN IS NOT NULL&amp;outFields=*&amp;f=html (buildings joined spatially) | https://egcss.pwcgov.org/SelfService#/home</t>
        </is>
      </c>
      <c r="AF13" t="inlineStr">
        <is>
          <t>2026-09-25</t>
        </is>
      </c>
    </row>
    <row r="14">
      <c r="A14" t="n">
        <v>13</v>
      </c>
      <c r="B14" t="inlineStr">
        <is>
          <t>Stack Infrastructure NVA02 YFT</t>
        </is>
      </c>
      <c r="C14" t="n">
        <v>3</v>
      </c>
      <c r="D14" t="inlineStr">
        <is>
          <t>Youth For Tomorrow</t>
        </is>
      </c>
      <c r="E14" t="inlineStr">
        <is>
          <t>REZ2019-00034</t>
        </is>
      </c>
      <c r="F14" t="inlineStr">
        <is>
          <t>REZ2019-00034</t>
        </is>
      </c>
      <c r="G14" t="inlineStr">
        <is>
          <t>Under Construction</t>
        </is>
      </c>
      <c r="H14" t="inlineStr">
        <is>
          <t>Planned</t>
        </is>
      </c>
      <c r="J14" t="inlineStr">
        <is>
          <t>Approved</t>
        </is>
      </c>
      <c r="K14" t="inlineStr">
        <is>
          <t>Rule 1: &gt;=1 building 'Under Construction' in layer 9</t>
        </is>
      </c>
      <c r="L14" t="n">
        <v>49.84</v>
      </c>
      <c r="M14" t="n">
        <v>713607</v>
      </c>
      <c r="N14" t="n">
        <v>713607</v>
      </c>
      <c r="O14" t="n">
        <v>3</v>
      </c>
      <c r="P14" t="inlineStr">
        <is>
          <t>Under Construction: 3</t>
        </is>
      </c>
      <c r="Q14" t="n">
        <v>713492</v>
      </c>
      <c r="R14" t="inlineStr">
        <is>
          <t>Brentsville</t>
        </is>
      </c>
      <c r="S14" t="inlineStr">
        <is>
          <t>No</t>
        </is>
      </c>
      <c r="T14" t="inlineStr">
        <is>
          <t>PBD</t>
        </is>
      </c>
      <c r="U14" t="inlineStr">
        <is>
          <t>7595-54-7478</t>
        </is>
      </c>
      <c r="V14" t="inlineStr">
        <is>
          <t>10155 LINTON HALL RD; 10161 LINTON HALL RD; 10167 LINTON HALL RD</t>
        </is>
      </c>
      <c r="W14" t="inlineStr">
        <is>
          <t>Stack Northern Virginia NVA02H (Under Construction); Stack Northern Virginia NVA02I (Under Construction); Stack Northern Virginia NVA02J (Under Construction)</t>
        </is>
      </c>
      <c r="X14" t="inlineStr">
        <is>
          <t>BLD2025-03391 (Issued); BLD2025-06092 (Issued); BLD2026-01905 (Issued)</t>
        </is>
      </c>
      <c r="AA14" t="inlineStr">
        <is>
          <t>REZ2019-00034 [Rezoning - Non-Residential; Approved; case number]; SPR2025-00355 [Site Plan - Revision; Approved; name exact]; SPR2027-00080 [Site Plan - Administrative Review; Pending; GPIN (building parcel)]</t>
        </is>
      </c>
      <c r="AB14" t="inlineStr">
        <is>
          <t>SPR2027-00080 (Pending)</t>
        </is>
      </c>
      <c r="AC14" t="inlineStr">
        <is>
          <t>222f06a0-c603-4233-9289-74ff5439b34d</t>
        </is>
      </c>
      <c r="AD14" t="inlineStr">
        <is>
          <t>Build_Out_Analysis/10 (campuses); Build_Out_Analysis/9 (buildings); ePortal</t>
        </is>
      </c>
      <c r="AE14" t="inlineStr">
        <is>
          <t>https://gisweb.pwcva.gov/arcgis/rest/services/Planning/Build_Out_Analysis/MapServer/10/46?f=html | https://gisweb.pwcva.gov/arcgis/rest/services/Planning/Build_Out_Analysis/MapServer/9/query?where=GPIN IS NOT NULL&amp;outFields=*&amp;f=html (buildings joined spatially) | https://egcss.pwcgov.org/SelfService#/home</t>
        </is>
      </c>
      <c r="AF14" t="inlineStr">
        <is>
          <t>2026-09-25</t>
        </is>
      </c>
    </row>
    <row r="15">
      <c r="A15" t="n">
        <v>14</v>
      </c>
      <c r="B15" t="inlineStr">
        <is>
          <t>Amazon Bethlehem Technology Park</t>
        </is>
      </c>
      <c r="C15" t="n">
        <v>4</v>
      </c>
      <c r="D15" t="inlineStr">
        <is>
          <t>Bethlehem Technology Park Rezoning</t>
        </is>
      </c>
      <c r="E15" t="inlineStr">
        <is>
          <t>REZ2016-00024</t>
        </is>
      </c>
      <c r="F15" t="inlineStr">
        <is>
          <t>REZ2016-00024</t>
        </is>
      </c>
      <c r="G15" t="inlineStr">
        <is>
          <t>Completed</t>
        </is>
      </c>
      <c r="H15" t="inlineStr">
        <is>
          <t>Completed</t>
        </is>
      </c>
      <c r="K15" t="inlineStr">
        <is>
          <t>Rule 2: campus ProjectStatus Completed</t>
        </is>
      </c>
      <c r="L15" t="n">
        <v>61.55</v>
      </c>
      <c r="M15" t="n">
        <v>740000</v>
      </c>
      <c r="N15" t="n">
        <v>0</v>
      </c>
      <c r="O15" t="n">
        <v>4</v>
      </c>
      <c r="P15" t="inlineStr">
        <is>
          <t>Completed: 4</t>
        </is>
      </c>
      <c r="Q15" t="n">
        <v>719742</v>
      </c>
      <c r="R15" t="inlineStr">
        <is>
          <t>Brentsville</t>
        </is>
      </c>
      <c r="S15" t="inlineStr">
        <is>
          <t>Yes</t>
        </is>
      </c>
      <c r="T15" t="inlineStr">
        <is>
          <t>M-2</t>
        </is>
      </c>
      <c r="U15" t="inlineStr">
        <is>
          <t>7596-58-8732</t>
        </is>
      </c>
      <c r="V15" t="inlineStr">
        <is>
          <t>8180 BETHLEHEM RD; 8190 BETHLEHEM RD; 8200 BETHLEHEM RD; 8210 BETHLEHEM RD</t>
        </is>
      </c>
      <c r="W15" t="inlineStr">
        <is>
          <t>Amazon Bethlehem Technology Park DC18 (Completed); Amazon Bethlehem Technology Park DC19 (Completed); Amazon Bethlehem Technology Park DC20 (Completed); Amazon Bethlehem Technology Park DC23 (Completed)</t>
        </is>
      </c>
      <c r="X15" t="inlineStr">
        <is>
          <t>BLD2016-06361 (Finaled); BLD2017-01263 (Finaled); BLD2017-02845 (Finaled); BLD2018-03269 (Finaled)</t>
        </is>
      </c>
      <c r="AC15" t="inlineStr">
        <is>
          <t>b85539e6-a3d5-42c6-9c56-413bf113335d</t>
        </is>
      </c>
      <c r="AD15" t="inlineStr">
        <is>
          <t>Build_Out_Analysis/10 (campuses); Build_Out_Analysis/9 (buildings)</t>
        </is>
      </c>
      <c r="AE15" t="inlineStr">
        <is>
          <t>https://gisweb.pwcva.gov/arcgis/rest/services/Planning/Build_Out_Analysis/MapServer/10/14?f=html | https://gisweb.pwcva.gov/arcgis/rest/services/Planning/Build_Out_Analysis/MapServer/9/query?where=GPIN IS NOT NULL&amp;outFields=*&amp;f=html (buildings joined spatially)</t>
        </is>
      </c>
      <c r="AF15" t="inlineStr">
        <is>
          <t>2026-09-25</t>
        </is>
      </c>
    </row>
    <row r="16">
      <c r="A16" t="n">
        <v>15</v>
      </c>
      <c r="B16" t="inlineStr">
        <is>
          <t>Amazon Freedom Boulevard</t>
        </is>
      </c>
      <c r="C16" t="n">
        <v>2</v>
      </c>
      <c r="D16" t="inlineStr">
        <is>
          <t>Amazon AWS IAD - Freedom Campus</t>
        </is>
      </c>
      <c r="E16" t="inlineStr">
        <is>
          <t>REZ1989-0022</t>
        </is>
      </c>
      <c r="F16" t="inlineStr">
        <is>
          <t>REZ1989-0022</t>
        </is>
      </c>
      <c r="G16" t="inlineStr">
        <is>
          <t>Completed</t>
        </is>
      </c>
      <c r="H16" t="inlineStr">
        <is>
          <t>Completed</t>
        </is>
      </c>
      <c r="K16" t="inlineStr">
        <is>
          <t>Rule 2: campus ProjectStatus Completed</t>
        </is>
      </c>
      <c r="L16" t="n">
        <v>18.75</v>
      </c>
      <c r="M16" t="n">
        <v>409252</v>
      </c>
      <c r="N16" t="n">
        <v>0</v>
      </c>
      <c r="O16" t="n">
        <v>2</v>
      </c>
      <c r="P16" t="inlineStr">
        <is>
          <t>Completed: 2</t>
        </is>
      </c>
      <c r="Q16" t="n">
        <v>408422</v>
      </c>
      <c r="R16" t="inlineStr">
        <is>
          <t>Brentsville</t>
        </is>
      </c>
      <c r="S16" t="inlineStr">
        <is>
          <t>Yes</t>
        </is>
      </c>
      <c r="T16" t="inlineStr">
        <is>
          <t>M-2</t>
        </is>
      </c>
      <c r="U16" t="inlineStr">
        <is>
          <t>7696-21-7764</t>
        </is>
      </c>
      <c r="V16" t="inlineStr">
        <is>
          <t>9020 FREEDOM CENTER BLVD; 9040 FREEDOM CENTER BLVD</t>
        </is>
      </c>
      <c r="W16" t="inlineStr">
        <is>
          <t>Amazon AWS IAD-130 (Completed); Amazon AWS IAD-131 (Completed)</t>
        </is>
      </c>
      <c r="X16" t="inlineStr">
        <is>
          <t>BLD2019-01155 (Finaled); BLD2019-04018 (Finaled)</t>
        </is>
      </c>
      <c r="AC16" t="inlineStr">
        <is>
          <t>3ce1ec8d-e4fb-4b8b-9387-14d85dccd570</t>
        </is>
      </c>
      <c r="AD16" t="inlineStr">
        <is>
          <t>Build_Out_Analysis/10 (campuses); Build_Out_Analysis/9 (buildings)</t>
        </is>
      </c>
      <c r="AE16" t="inlineStr">
        <is>
          <t>https://gisweb.pwcva.gov/arcgis/rest/services/Planning/Build_Out_Analysis/MapServer/10/21?f=html | https://gisweb.pwcva.gov/arcgis/rest/services/Planning/Build_Out_Analysis/MapServer/9/query?where=GPIN IS NOT NULL&amp;outFields=*&amp;f=html (buildings joined spatially)</t>
        </is>
      </c>
      <c r="AF16" t="inlineStr">
        <is>
          <t>2026-09-25</t>
        </is>
      </c>
    </row>
    <row r="17">
      <c r="A17" t="n">
        <v>16</v>
      </c>
      <c r="B17" t="inlineStr">
        <is>
          <t>Amazon Mason King Court</t>
        </is>
      </c>
      <c r="C17" t="n">
        <v>3</v>
      </c>
      <c r="D17" t="inlineStr">
        <is>
          <t>Wheeler Smith Wood Solite</t>
        </is>
      </c>
      <c r="E17" t="inlineStr">
        <is>
          <t>REZ1969-0021</t>
        </is>
      </c>
      <c r="F17" t="inlineStr">
        <is>
          <t>REZ1969-0021</t>
        </is>
      </c>
      <c r="G17" t="inlineStr">
        <is>
          <t>Completed</t>
        </is>
      </c>
      <c r="H17" t="inlineStr">
        <is>
          <t>Completed</t>
        </is>
      </c>
      <c r="K17" t="inlineStr">
        <is>
          <t>Rule 2: campus ProjectStatus Completed</t>
        </is>
      </c>
      <c r="L17" t="n">
        <v>17.27</v>
      </c>
      <c r="M17" t="n">
        <v>259543</v>
      </c>
      <c r="N17" t="n">
        <v>0</v>
      </c>
      <c r="O17" t="n">
        <v>3</v>
      </c>
      <c r="P17" t="inlineStr">
        <is>
          <t>Completed: 3</t>
        </is>
      </c>
      <c r="Q17" t="n">
        <v>376124</v>
      </c>
      <c r="R17" t="inlineStr">
        <is>
          <t>Gainesville</t>
        </is>
      </c>
      <c r="S17" t="inlineStr">
        <is>
          <t>Yes</t>
        </is>
      </c>
      <c r="T17" t="inlineStr">
        <is>
          <t>M-1</t>
        </is>
      </c>
      <c r="U17" t="inlineStr">
        <is>
          <t>7597-62-3841; 7597-72-1867</t>
        </is>
      </c>
      <c r="V17" t="inlineStr">
        <is>
          <t>7505 MASON KING CT; 7510 MASON KING CT; 7610 MASON KING CT</t>
        </is>
      </c>
      <c r="W17" t="inlineStr">
        <is>
          <t>Amazon AWS IAD-11 (Completed); Amazon AWS IAD-24 (Completed); Amazon AWS IAD-7 (Completed)</t>
        </is>
      </c>
      <c r="X17" t="inlineStr">
        <is>
          <t>BLD2009-02929 (Finaled); BLD2012-02503 (Finaled); BLD2012-03056 (Finaled)</t>
        </is>
      </c>
      <c r="AA17" t="inlineStr">
        <is>
          <t>SPR2022-00356 [Site Plan - Minor; Approved; GPIN (building parcel)]; SPR2023-00091 [Site Plan - Minor; Approved; GPIN (building parcel)]; SPR2023-00092 [Site Plan - Minor; Approved; GPIN (building parcel)]; SPR2023-00249 [Site Plan - Minor; Approved; GPIN (building parcel)]</t>
        </is>
      </c>
      <c r="AC17" t="inlineStr">
        <is>
          <t>06882327-a3cd-4bd2-9646-9f72bd231847</t>
        </is>
      </c>
      <c r="AD17" t="inlineStr">
        <is>
          <t>Build_Out_Analysis/10 (campuses); Build_Out_Analysis/9 (buildings); ePortal</t>
        </is>
      </c>
      <c r="AE17" t="inlineStr">
        <is>
          <t>https://gisweb.pwcva.gov/arcgis/rest/services/Planning/Build_Out_Analysis/MapServer/10/39?f=html | https://gisweb.pwcva.gov/arcgis/rest/services/Planning/Build_Out_Analysis/MapServer/9/query?where=GPIN IS NOT NULL&amp;outFields=*&amp;f=html (buildings joined spatially) | https://egcss.pwcgov.org/SelfService#/home</t>
        </is>
      </c>
      <c r="AF17" t="inlineStr">
        <is>
          <t>2026-09-25</t>
        </is>
      </c>
    </row>
    <row r="18">
      <c r="A18" t="n">
        <v>17</v>
      </c>
      <c r="B18" t="inlineStr">
        <is>
          <t>Amazon Midwood Center</t>
        </is>
      </c>
      <c r="C18" t="n">
        <v>5</v>
      </c>
      <c r="D18" t="inlineStr">
        <is>
          <t>Midwood Center</t>
        </is>
      </c>
      <c r="E18" t="inlineStr">
        <is>
          <t>PLN2003-00108</t>
        </is>
      </c>
      <c r="F18" t="inlineStr">
        <is>
          <t>PLN2003-00108</t>
        </is>
      </c>
      <c r="G18" t="inlineStr">
        <is>
          <t>Completed</t>
        </is>
      </c>
      <c r="H18" t="inlineStr">
        <is>
          <t>Completed</t>
        </is>
      </c>
      <c r="K18" t="inlineStr">
        <is>
          <t>Rule 2: campus ProjectStatus Completed</t>
        </is>
      </c>
      <c r="L18" t="n">
        <v>66.81</v>
      </c>
      <c r="M18" t="n">
        <v>689469</v>
      </c>
      <c r="N18" t="n">
        <v>0</v>
      </c>
      <c r="O18" t="n">
        <v>5</v>
      </c>
      <c r="P18" t="inlineStr">
        <is>
          <t>Completed: 5</t>
        </is>
      </c>
      <c r="Q18" t="n">
        <v>689469</v>
      </c>
      <c r="R18" t="inlineStr">
        <is>
          <t>Gainesville</t>
        </is>
      </c>
      <c r="S18" t="inlineStr">
        <is>
          <t>No</t>
        </is>
      </c>
      <c r="T18" t="inlineStr">
        <is>
          <t>M-2 PBD</t>
        </is>
      </c>
      <c r="U18" t="inlineStr">
        <is>
          <t>7298-41-4524; 7298-51-5907</t>
        </is>
      </c>
      <c r="V18" t="inlineStr">
        <is>
          <t>15395 JOHN MARSHALL HWY; 15445 JOHN MARSHALL HWY; 15455 JOHN MARSHALL HWY; 15465 JOHN MARSHALL HWY; 15475 JOHN MARSHALL HWY</t>
        </is>
      </c>
      <c r="W18" t="inlineStr">
        <is>
          <t>Amazon AWS IAD 15445 John Marshall (Completed); Amazon AWS IAD-55 (Completed); Amazon AWS IAD-64 (Completed); Amazon AWS IAD-64 Ext (Completed); Amazon AWS IAD-84 (Completed)</t>
        </is>
      </c>
      <c r="X18" t="inlineStr">
        <is>
          <t>BLD2014-01766 (Finaled); BLD2016-04280 (Finaled); BLD2018-06209 (Finaled); BLD2020-04888 (Finaled); BLD2022-07765 (Finaled)</t>
        </is>
      </c>
      <c r="AA18" t="inlineStr">
        <is>
          <t>SPR2015-20042 [Site Plan - Administrative Review; Approved; GPIN (building parcel)]; SPR2016-00217 [Site Plan - Minor; Approved; GPIN (building parcel)]; SPR2017-00050 [Site Plan - Revision; Approved; name prefix (unique)]; SPR2017-00060 [Site Plan - Revision; Approved; GPIN (building parcel)]; SPR2017-00196 [Site Plan - Administrative Review; Approved; GPIN (building parcel)]; SPR2017-00337 [Site Plan - Revision; Closed; GPIN (building parcel)]; SPR2019-00255 [Site Plan - Revision; Approved; name prefix (unique)]; SPR2020-00038 [Site Plan - Administrative Review; Approved; GPIN (building parcel)]; SPR2023-00090 [Site Plan - Minor; Approved; GPIN (building parcel)]; SPR2023-00423 [Site Plan - Minor; Approved; GPIN (building parcel)]; SPR2024-00340 [Site Plan - Minor; Approved; GPIN (building parcel)]</t>
        </is>
      </c>
      <c r="AC18" t="inlineStr">
        <is>
          <t>3861bb53-127d-425e-85de-cd895072e240</t>
        </is>
      </c>
      <c r="AD18" t="inlineStr">
        <is>
          <t>Build_Out_Analysis/10 (campuses); Build_Out_Analysis/9 (buildings); ePortal</t>
        </is>
      </c>
      <c r="AE18" t="inlineStr">
        <is>
          <t>https://gisweb.pwcva.gov/arcgis/rest/services/Planning/Build_Out_Analysis/MapServer/10/37?f=html | https://gisweb.pwcva.gov/arcgis/rest/services/Planning/Build_Out_Analysis/MapServer/9/query?where=GPIN IS NOT NULL&amp;outFields=*&amp;f=html (buildings joined spatially) | https://egcss.pwcgov.org/SelfService#/home</t>
        </is>
      </c>
      <c r="AF18" t="inlineStr">
        <is>
          <t>2026-09-25</t>
        </is>
      </c>
    </row>
    <row r="19">
      <c r="A19" t="n">
        <v>18</v>
      </c>
      <c r="B19" t="inlineStr">
        <is>
          <t>Amazon Tanner Way</t>
        </is>
      </c>
      <c r="C19" t="n">
        <v>4</v>
      </c>
      <c r="D19" t="inlineStr">
        <is>
          <t>Brickyard</t>
        </is>
      </c>
      <c r="E19" t="inlineStr">
        <is>
          <t>REZ2018-00002</t>
        </is>
      </c>
      <c r="F19" t="inlineStr">
        <is>
          <t>REZ2018-00002</t>
        </is>
      </c>
      <c r="G19" t="inlineStr">
        <is>
          <t>Completed</t>
        </is>
      </c>
      <c r="H19" t="inlineStr">
        <is>
          <t>Completed</t>
        </is>
      </c>
      <c r="J19" t="inlineStr">
        <is>
          <t>Approved</t>
        </is>
      </c>
      <c r="K19" t="inlineStr">
        <is>
          <t>Rule 2: campus ProjectStatus Completed</t>
        </is>
      </c>
      <c r="L19" t="n">
        <v>82.58</v>
      </c>
      <c r="M19" t="n">
        <v>1798534</v>
      </c>
      <c r="N19" t="n">
        <v>0</v>
      </c>
      <c r="O19" t="n">
        <v>4</v>
      </c>
      <c r="P19" t="inlineStr">
        <is>
          <t>Completed: 4</t>
        </is>
      </c>
      <c r="Q19" t="n">
        <v>795191</v>
      </c>
      <c r="R19" t="inlineStr">
        <is>
          <t>Coles</t>
        </is>
      </c>
      <c r="S19" t="inlineStr">
        <is>
          <t>Yes</t>
        </is>
      </c>
      <c r="T19" t="inlineStr">
        <is>
          <t>M-1</t>
        </is>
      </c>
      <c r="U19" t="inlineStr">
        <is>
          <t>7695-62-8723</t>
        </is>
      </c>
      <c r="V19" t="inlineStr">
        <is>
          <t>10261 TANNER WAY; 10281 TANNER WAY; 10301 TANNER WAY; 10321 TANNER WAY</t>
        </is>
      </c>
      <c r="W19" t="inlineStr">
        <is>
          <t>Amazon AWS IAD-100 (Completed); Amazon AWS IAD-101 (Completed); Amazon AWS IAD-102 (Completed); Amazon AWS IAD-103 (Completed)</t>
        </is>
      </c>
      <c r="X19" t="inlineStr">
        <is>
          <t>BLD2020-00115 (Finaled); BLD2020-04380 (Finaled); BLD2020-05182 (Finaled); BLD2021-00330 (Finaled)</t>
        </is>
      </c>
      <c r="AA19" t="inlineStr">
        <is>
          <t>REZ2018-00002 [Rezoning - Proffer Amendment; Approved; case number]; SPR2024-00173 [Site Plan - Revision; Approved; GPIN (building parcel)]</t>
        </is>
      </c>
      <c r="AC19" t="inlineStr">
        <is>
          <t>5b9b1adb-eadd-43e0-aa7f-4fe0a600d4f2</t>
        </is>
      </c>
      <c r="AD19" t="inlineStr">
        <is>
          <t>Build_Out_Analysis/10 (campuses); Build_Out_Analysis/9 (buildings); ePortal</t>
        </is>
      </c>
      <c r="AE19" t="inlineStr">
        <is>
          <t>https://gisweb.pwcva.gov/arcgis/rest/services/Planning/Build_Out_Analysis/MapServer/10/27?f=html | https://gisweb.pwcva.gov/arcgis/rest/services/Planning/Build_Out_Analysis/MapServer/9/query?where=GPIN IS NOT NULL&amp;outFields=*&amp;f=html (buildings joined spatially) | https://egcss.pwcgov.org/SelfService#/home</t>
        </is>
      </c>
      <c r="AF19" t="inlineStr">
        <is>
          <t>2026-09-25</t>
        </is>
      </c>
    </row>
    <row r="20">
      <c r="A20" t="n">
        <v>19</v>
      </c>
      <c r="B20" t="inlineStr">
        <is>
          <t>Amazon Thomasson Barn</t>
        </is>
      </c>
      <c r="C20" t="n">
        <v>2</v>
      </c>
      <c r="D20" t="inlineStr">
        <is>
          <t>Innovation at PW</t>
        </is>
      </c>
      <c r="E20" t="inlineStr">
        <is>
          <t>PLN2007-00535</t>
        </is>
      </c>
      <c r="F20" t="inlineStr">
        <is>
          <t>PLN2007-00535</t>
        </is>
      </c>
      <c r="G20" t="inlineStr">
        <is>
          <t>Completed</t>
        </is>
      </c>
      <c r="H20" t="inlineStr">
        <is>
          <t>Completed</t>
        </is>
      </c>
      <c r="K20" t="inlineStr">
        <is>
          <t>Rule 2: campus ProjectStatus Completed</t>
        </is>
      </c>
      <c r="L20" t="n">
        <v>21.14</v>
      </c>
      <c r="M20" t="n">
        <v>352530</v>
      </c>
      <c r="N20" t="n">
        <v>0</v>
      </c>
      <c r="O20" t="n">
        <v>2</v>
      </c>
      <c r="P20" t="inlineStr">
        <is>
          <t>Completed: 2</t>
        </is>
      </c>
      <c r="Q20" t="n">
        <v>352030</v>
      </c>
      <c r="R20" t="inlineStr">
        <is>
          <t>Brentsville</t>
        </is>
      </c>
      <c r="S20" t="inlineStr">
        <is>
          <t>Yes</t>
        </is>
      </c>
      <c r="T20" t="inlineStr">
        <is>
          <t>PBD</t>
        </is>
      </c>
      <c r="U20" t="inlineStr">
        <is>
          <t>7595-95-6147</t>
        </is>
      </c>
      <c r="V20" t="inlineStr">
        <is>
          <t>11150 THOMASSON BARN RD; 11200 THOMASSON BARN RD</t>
        </is>
      </c>
      <c r="W20" t="inlineStr">
        <is>
          <t>Manassas Amazon AWS 139 (Completed); Manassas Amazon AWS 140 (Completed)</t>
        </is>
      </c>
      <c r="X20" t="inlineStr">
        <is>
          <t>BLD2019-01459 (Finaled); BLD2019-02581 (Finaled)</t>
        </is>
      </c>
      <c r="AA20" t="inlineStr">
        <is>
          <t>SPR2023-00084 [Site Plan - Minor; Approved; GPIN (building parcel)]</t>
        </is>
      </c>
      <c r="AC20" t="inlineStr">
        <is>
          <t>65a47980-e01f-4e3d-bc5c-e3f7c6c096f4</t>
        </is>
      </c>
      <c r="AD20" t="inlineStr">
        <is>
          <t>Build_Out_Analysis/10 (campuses); Build_Out_Analysis/9 (buildings); ePortal</t>
        </is>
      </c>
      <c r="AE20" t="inlineStr">
        <is>
          <t>https://gisweb.pwcva.gov/arcgis/rest/services/Planning/Build_Out_Analysis/MapServer/10/31?f=html | https://gisweb.pwcva.gov/arcgis/rest/services/Planning/Build_Out_Analysis/MapServer/9/query?where=GPIN IS NOT NULL&amp;outFields=*&amp;f=html (buildings joined spatially) | https://egcss.pwcgov.org/SelfService#/home</t>
        </is>
      </c>
      <c r="AF20" t="inlineStr">
        <is>
          <t>2026-10-02</t>
        </is>
      </c>
    </row>
    <row r="21">
      <c r="A21" t="n">
        <v>20</v>
      </c>
      <c r="B21" t="inlineStr">
        <is>
          <t>Amazon Wellington South</t>
        </is>
      </c>
      <c r="C21" t="n">
        <v>2</v>
      </c>
      <c r="D21" t="inlineStr">
        <is>
          <t>Wellington South</t>
        </is>
      </c>
      <c r="E21" t="inlineStr">
        <is>
          <t>REZ1989-0069</t>
        </is>
      </c>
      <c r="F21" t="inlineStr">
        <is>
          <t>REZ1989-0069</t>
        </is>
      </c>
      <c r="G21" t="inlineStr">
        <is>
          <t>Completed</t>
        </is>
      </c>
      <c r="H21" t="inlineStr">
        <is>
          <t>Completed</t>
        </is>
      </c>
      <c r="K21" t="inlineStr">
        <is>
          <t>Rule 2: campus ProjectStatus Completed</t>
        </is>
      </c>
      <c r="L21" t="n">
        <v>26.24</v>
      </c>
      <c r="M21" t="n">
        <v>297160</v>
      </c>
      <c r="N21" t="n">
        <v>0</v>
      </c>
      <c r="O21" t="n">
        <v>2</v>
      </c>
      <c r="P21" t="inlineStr">
        <is>
          <t>Completed: 2</t>
        </is>
      </c>
      <c r="Q21" t="n">
        <v>297160</v>
      </c>
      <c r="R21" t="inlineStr">
        <is>
          <t>Brentsville</t>
        </is>
      </c>
      <c r="S21" t="inlineStr">
        <is>
          <t>Yes</t>
        </is>
      </c>
      <c r="T21" t="inlineStr">
        <is>
          <t>M-2</t>
        </is>
      </c>
      <c r="U21" t="inlineStr">
        <is>
          <t>7596-17-3979</t>
        </is>
      </c>
      <c r="V21" t="inlineStr">
        <is>
          <t>7060 WELLINGTON RD; 7070 WELLINGTON RD</t>
        </is>
      </c>
      <c r="W21" t="inlineStr">
        <is>
          <t>Amazon AWS IAD-73 Manassas (Completed); Amazon AWS IAD-74 Manassas (Completed)</t>
        </is>
      </c>
      <c r="X21" t="inlineStr">
        <is>
          <t>BLD2015-22325 (Finaled); BLD2015-23921 (Finaled)</t>
        </is>
      </c>
      <c r="AA21" t="inlineStr">
        <is>
          <t>SPR2023-00086 [Site Plan - Minor; Approved; GPIN (building parcel)]; SPR2027-00035 [Site Plan - Final; Pending; GPIN (building parcel)]</t>
        </is>
      </c>
      <c r="AB21" t="inlineStr">
        <is>
          <t>SPR2027-00035 (Pending)</t>
        </is>
      </c>
      <c r="AC21" t="inlineStr">
        <is>
          <t>3e7c27b9-d412-4ed3-9db7-33be4a5706d8</t>
        </is>
      </c>
      <c r="AD21" t="inlineStr">
        <is>
          <t>Build_Out_Analysis/10 (campuses); Build_Out_Analysis/9 (buildings); ePortal</t>
        </is>
      </c>
      <c r="AE21" t="inlineStr">
        <is>
          <t>https://gisweb.pwcva.gov/arcgis/rest/services/Planning/Build_Out_Analysis/MapServer/10/12?f=html | https://gisweb.pwcva.gov/arcgis/rest/services/Planning/Build_Out_Analysis/MapServer/9/query?where=GPIN IS NOT NULL&amp;outFields=*&amp;f=html (buildings joined spatially) | https://egcss.pwcgov.org/SelfService#/home</t>
        </is>
      </c>
      <c r="AF21" t="inlineStr">
        <is>
          <t>2026-09-25</t>
        </is>
      </c>
    </row>
    <row r="22">
      <c r="A22" t="n">
        <v>21</v>
      </c>
      <c r="B22" t="inlineStr">
        <is>
          <t>CloudHQ Manassas Hornbaker</t>
        </is>
      </c>
      <c r="C22" t="n">
        <v>1</v>
      </c>
      <c r="D22" t="inlineStr">
        <is>
          <t>Innovation at PW</t>
        </is>
      </c>
      <c r="E22" t="inlineStr">
        <is>
          <t>PLN2007-00535</t>
        </is>
      </c>
      <c r="F22" t="inlineStr">
        <is>
          <t>PLN2007-00535</t>
        </is>
      </c>
      <c r="G22" t="inlineStr">
        <is>
          <t>Completed</t>
        </is>
      </c>
      <c r="H22" t="inlineStr">
        <is>
          <t>Completed</t>
        </is>
      </c>
      <c r="K22" t="inlineStr">
        <is>
          <t>Rule 2: campus ProjectStatus Completed</t>
        </is>
      </c>
      <c r="L22" t="n">
        <v>19.44</v>
      </c>
      <c r="M22" t="n">
        <v>223127</v>
      </c>
      <c r="N22" t="n">
        <v>0</v>
      </c>
      <c r="O22" t="n">
        <v>1</v>
      </c>
      <c r="P22" t="inlineStr">
        <is>
          <t>Completed: 1</t>
        </is>
      </c>
      <c r="Q22" t="n">
        <v>247608</v>
      </c>
      <c r="R22" t="inlineStr">
        <is>
          <t>Brentsville</t>
        </is>
      </c>
      <c r="S22" t="inlineStr">
        <is>
          <t>Yes</t>
        </is>
      </c>
      <c r="T22" t="inlineStr">
        <is>
          <t>PBD</t>
        </is>
      </c>
      <c r="U22" t="inlineStr">
        <is>
          <t>7595-96-0662</t>
        </is>
      </c>
      <c r="V22" t="inlineStr">
        <is>
          <t>9651 HORNBAKER RD</t>
        </is>
      </c>
      <c r="W22" t="inlineStr">
        <is>
          <t>Manassas Amazon AWS 004 (Completed)</t>
        </is>
      </c>
      <c r="X22" t="inlineStr">
        <is>
          <t>BLD2007-04468 (Finaled)</t>
        </is>
      </c>
      <c r="AA22" t="inlineStr">
        <is>
          <t>SPR2016-00013 [Site Plan - Asbuilt Plan; Approved; GPIN (building parcel)]; SPR2016-00204 [Site Plan - Minor; Approved; GPIN (building parcel)]; SPR2020-00179 [Site Plan - Minor; Approved; GPIN (building parcel)]; SPR2020-00384 [Site Plan - Minor; Approved; GPIN (building parcel)]; SPR2024-00063 [Site Plan - Minor; Approved; GPIN (building parcel)]; SPR2026-00375 [Site Plan - Revision; Pending; GPIN (building parcel)]</t>
        </is>
      </c>
      <c r="AB22" t="inlineStr">
        <is>
          <t>SPR2026-00375 (Pending)</t>
        </is>
      </c>
      <c r="AC22" t="inlineStr">
        <is>
          <t>65a47980-e01f-4e3d-bc5c-e3f7c6c096f4</t>
        </is>
      </c>
      <c r="AD22" t="inlineStr">
        <is>
          <t>Build_Out_Analysis/10 (campuses); Build_Out_Analysis/9 (buildings); ePortal</t>
        </is>
      </c>
      <c r="AE22" t="inlineStr">
        <is>
          <t>https://gisweb.pwcva.gov/arcgis/rest/services/Planning/Build_Out_Analysis/MapServer/10/26?f=html | https://gisweb.pwcva.gov/arcgis/rest/services/Planning/Build_Out_Analysis/MapServer/9/query?where=GPIN IS NOT NULL&amp;outFields=*&amp;f=html (buildings joined spatially) | https://egcss.pwcgov.org/SelfService#/home</t>
        </is>
      </c>
      <c r="AF22" t="inlineStr">
        <is>
          <t>2026-10-02</t>
        </is>
      </c>
    </row>
    <row r="23">
      <c r="A23" t="n">
        <v>22</v>
      </c>
      <c r="B23" t="inlineStr">
        <is>
          <t>TPC Data Centers</t>
        </is>
      </c>
      <c r="C23" t="n">
        <v>1</v>
      </c>
      <c r="D23" t="inlineStr">
        <is>
          <t>8765 and 8819 Wellington Road PRA</t>
        </is>
      </c>
      <c r="E23" t="inlineStr">
        <is>
          <t>REZ2024-00008</t>
        </is>
      </c>
      <c r="F23" t="inlineStr">
        <is>
          <t>REZ2024-00008</t>
        </is>
      </c>
      <c r="G23" t="inlineStr">
        <is>
          <t>Completed</t>
        </is>
      </c>
      <c r="H23" t="inlineStr">
        <is>
          <t>Completed</t>
        </is>
      </c>
      <c r="J23" t="inlineStr">
        <is>
          <t>Approved</t>
        </is>
      </c>
      <c r="K23" t="inlineStr">
        <is>
          <t>Rule 2: campus ProjectStatus Completed</t>
        </is>
      </c>
      <c r="L23" t="n">
        <v>8.109999999999999</v>
      </c>
      <c r="M23" t="n">
        <v>361500</v>
      </c>
      <c r="N23" t="n">
        <v>0</v>
      </c>
      <c r="O23" t="n">
        <v>1</v>
      </c>
      <c r="P23" t="inlineStr">
        <is>
          <t>Completed: 1</t>
        </is>
      </c>
      <c r="Q23" t="n">
        <v>361500</v>
      </c>
      <c r="R23" t="inlineStr">
        <is>
          <t>Brentsville</t>
        </is>
      </c>
      <c r="S23" t="inlineStr">
        <is>
          <t>Yes</t>
        </is>
      </c>
      <c r="T23" t="inlineStr">
        <is>
          <t>M-2</t>
        </is>
      </c>
      <c r="U23" t="inlineStr">
        <is>
          <t>7696-42-1559</t>
        </is>
      </c>
      <c r="V23" t="inlineStr">
        <is>
          <t>8819 WELLINGTON RD</t>
        </is>
      </c>
      <c r="W23" t="inlineStr">
        <is>
          <t>TPC Data Centers (Completed)</t>
        </is>
      </c>
      <c r="X23" t="inlineStr">
        <is>
          <t>BLD2024-04783 (Finaled)</t>
        </is>
      </c>
      <c r="AA23" t="inlineStr">
        <is>
          <t>PLT2025-00063 [Plat Easement; Approved; GPIN (building parcel)]; REZ2024-00008 [Rezoning - Proffer Amendment; Approved; case number]</t>
        </is>
      </c>
      <c r="AC23" t="inlineStr">
        <is>
          <t>55087cda-4790-4f98-be5d-2a054fe2c464</t>
        </is>
      </c>
      <c r="AD23" t="inlineStr">
        <is>
          <t>Build_Out_Analysis/10 (campuses); Build_Out_Analysis/9 (buildings); ePortal</t>
        </is>
      </c>
      <c r="AE23" t="inlineStr">
        <is>
          <t>https://gisweb.pwcva.gov/arcgis/rest/services/Planning/Build_Out_Analysis/MapServer/10/19?f=html | https://gisweb.pwcva.gov/arcgis/rest/services/Planning/Build_Out_Analysis/MapServer/9/query?where=GPIN IS NOT NULL&amp;outFields=*&amp;f=html (buildings joined spatially) | https://egcss.pwcgov.org/SelfService#/home</t>
        </is>
      </c>
      <c r="AF23" t="inlineStr">
        <is>
          <t>2026-09-25</t>
        </is>
      </c>
    </row>
    <row r="24">
      <c r="A24" t="n">
        <v>23</v>
      </c>
      <c r="B24" t="inlineStr">
        <is>
          <t>Verizon Manassas 7777 Infantry Ridge</t>
        </is>
      </c>
      <c r="C24" t="n">
        <v>1</v>
      </c>
      <c r="D24" t="inlineStr">
        <is>
          <t>Battlefield Business Park</t>
        </is>
      </c>
      <c r="E24" t="inlineStr">
        <is>
          <t>REZ1988-0030</t>
        </is>
      </c>
      <c r="F24" t="inlineStr">
        <is>
          <t>REZ1988-0030</t>
        </is>
      </c>
      <c r="G24" t="inlineStr">
        <is>
          <t>Completed</t>
        </is>
      </c>
      <c r="H24" t="inlineStr">
        <is>
          <t>Completed</t>
        </is>
      </c>
      <c r="K24" t="inlineStr">
        <is>
          <t>Rule 2: campus ProjectStatus Completed</t>
        </is>
      </c>
      <c r="L24" t="n">
        <v>20.33</v>
      </c>
      <c r="M24" t="n">
        <v>227465</v>
      </c>
      <c r="N24" t="n">
        <v>0</v>
      </c>
      <c r="O24" t="n">
        <v>1</v>
      </c>
      <c r="P24" t="inlineStr">
        <is>
          <t>Completed: 1</t>
        </is>
      </c>
      <c r="Q24" t="n">
        <v>227465</v>
      </c>
      <c r="R24" t="inlineStr">
        <is>
          <t>Gainesville</t>
        </is>
      </c>
      <c r="S24" t="inlineStr">
        <is>
          <t>Yes</t>
        </is>
      </c>
      <c r="T24" t="inlineStr">
        <is>
          <t>PBD</t>
        </is>
      </c>
      <c r="U24" t="inlineStr">
        <is>
          <t>7697-47-3772</t>
        </is>
      </c>
      <c r="V24" t="inlineStr">
        <is>
          <t>7777 INFANTRY RIDGE RD</t>
        </is>
      </c>
      <c r="W24" t="inlineStr">
        <is>
          <t>Verizon Manassas 7777 Infantry Ridge (Completed)</t>
        </is>
      </c>
      <c r="X24" t="inlineStr">
        <is>
          <t>BLD2026-02975 (Finaled)</t>
        </is>
      </c>
      <c r="AA24" t="inlineStr">
        <is>
          <t>SPR2023-00302 [Site Plan - Minor; Approved; GPIN (building parcel)]</t>
        </is>
      </c>
      <c r="AC24" t="inlineStr">
        <is>
          <t>67ae5cc3-3e5f-439d-aa9f-b079257e7927</t>
        </is>
      </c>
      <c r="AD24" t="inlineStr">
        <is>
          <t>Build_Out_Analysis/10 (campuses); Build_Out_Analysis/9 (buildings); ePortal</t>
        </is>
      </c>
      <c r="AE24" t="inlineStr">
        <is>
          <t>https://gisweb.pwcva.gov/arcgis/rest/services/Planning/Build_Out_Analysis/MapServer/10/45?f=html | https://gisweb.pwcva.gov/arcgis/rest/services/Planning/Build_Out_Analysis/MapServer/9/query?where=GPIN IS NOT NULL&amp;outFields=*&amp;f=html (buildings joined spatially) | https://egcss.pwcgov.org/SelfService#/home</t>
        </is>
      </c>
      <c r="AF24" t="inlineStr">
        <is>
          <t>2026-09-25</t>
        </is>
      </c>
    </row>
    <row r="25">
      <c r="A25" t="n">
        <v>24</v>
      </c>
      <c r="B25" t="inlineStr">
        <is>
          <t>5451 Wellington Road East</t>
        </is>
      </c>
      <c r="C25" t="n">
        <v>1</v>
      </c>
      <c r="D25" t="inlineStr">
        <is>
          <t>ATLANTIC RESEARCH</t>
        </is>
      </c>
      <c r="E25" t="inlineStr">
        <is>
          <t>REZ1958-0021</t>
        </is>
      </c>
      <c r="F25" t="inlineStr">
        <is>
          <t>REZ1958-0021</t>
        </is>
      </c>
      <c r="G25" t="inlineStr">
        <is>
          <t>Approved / Planned</t>
        </is>
      </c>
      <c r="H25" t="inlineStr">
        <is>
          <t>Planned</t>
        </is>
      </c>
      <c r="K25" t="inlineStr">
        <is>
          <t>Rule 3: campus ProjectStatus Planned</t>
        </is>
      </c>
      <c r="L25" t="n">
        <v>7.45</v>
      </c>
      <c r="M25" t="n">
        <v>116550</v>
      </c>
      <c r="N25" t="n">
        <v>116550</v>
      </c>
      <c r="O25" t="n">
        <v>1</v>
      </c>
      <c r="P25" t="inlineStr">
        <is>
          <t>Planned: 1</t>
        </is>
      </c>
      <c r="Q25" t="n">
        <v>116550</v>
      </c>
      <c r="R25" t="inlineStr">
        <is>
          <t>Brentsville</t>
        </is>
      </c>
      <c r="S25" t="inlineStr">
        <is>
          <t>Yes</t>
        </is>
      </c>
      <c r="T25" t="inlineStr">
        <is>
          <t>M-1</t>
        </is>
      </c>
      <c r="U25" t="inlineStr">
        <is>
          <t>7497-13-3597</t>
        </is>
      </c>
      <c r="V25" t="inlineStr">
        <is>
          <t>5551 WELLINGTON RD GAINESVILLE, VA 20155</t>
        </is>
      </c>
      <c r="W25" t="inlineStr">
        <is>
          <t>Wellington Road East (Planned)</t>
        </is>
      </c>
      <c r="AA25" t="inlineStr">
        <is>
          <t>SPR2026-00322 [Site Plan - Final; Pending; GPIN (building parcel)]</t>
        </is>
      </c>
      <c r="AB25" t="inlineStr">
        <is>
          <t>SPR2026-00322 (Pending)</t>
        </is>
      </c>
      <c r="AC25" t="inlineStr">
        <is>
          <t>7b3b0a5f-c395-47c0-99c0-eb53f411acb3</t>
        </is>
      </c>
      <c r="AD25" t="inlineStr">
        <is>
          <t>Build_Out_Analysis/10 (campuses); Build_Out_Analysis/9 (buildings); ePortal</t>
        </is>
      </c>
      <c r="AE25" t="inlineStr">
        <is>
          <t>https://gisweb.pwcva.gov/arcgis/rest/services/Planning/Build_Out_Analysis/MapServer/10/561?f=html | https://gisweb.pwcva.gov/arcgis/rest/services/Planning/Build_Out_Analysis/MapServer/9/query?where=GPIN IS NOT NULL&amp;outFields=*&amp;f=html (buildings joined spatially) | https://egcss.pwcgov.org/SelfService#/home</t>
        </is>
      </c>
      <c r="AF25" t="inlineStr">
        <is>
          <t>2026-09-25</t>
        </is>
      </c>
    </row>
    <row r="26">
      <c r="A26" t="n">
        <v>25</v>
      </c>
      <c r="B26" t="inlineStr">
        <is>
          <t>5451 Wellington Road West</t>
        </is>
      </c>
      <c r="C26" t="n">
        <v>1</v>
      </c>
      <c r="D26" t="inlineStr">
        <is>
          <t>ATLANTIC RESEARCH</t>
        </is>
      </c>
      <c r="E26" t="inlineStr">
        <is>
          <t>REZ1958-0021</t>
        </is>
      </c>
      <c r="F26" t="inlineStr">
        <is>
          <t>REZ1958-0021</t>
        </is>
      </c>
      <c r="G26" t="inlineStr">
        <is>
          <t>Approved / Planned</t>
        </is>
      </c>
      <c r="H26" t="inlineStr">
        <is>
          <t>Planned</t>
        </is>
      </c>
      <c r="K26" t="inlineStr">
        <is>
          <t>Rule 3: campus ProjectStatus Planned</t>
        </is>
      </c>
      <c r="L26" t="n">
        <v>18</v>
      </c>
      <c r="M26" t="n">
        <v>255500</v>
      </c>
      <c r="N26" t="n">
        <v>255500</v>
      </c>
      <c r="O26" t="n">
        <v>1</v>
      </c>
      <c r="P26" t="inlineStr">
        <is>
          <t>Planned: 1</t>
        </is>
      </c>
      <c r="Q26" t="n">
        <v>255500</v>
      </c>
      <c r="R26" t="inlineStr">
        <is>
          <t>Brentsville</t>
        </is>
      </c>
      <c r="S26" t="inlineStr">
        <is>
          <t>Yes</t>
        </is>
      </c>
      <c r="T26" t="inlineStr">
        <is>
          <t>M-1</t>
        </is>
      </c>
      <c r="U26" t="inlineStr">
        <is>
          <t>7497-04-7126</t>
        </is>
      </c>
      <c r="V26" t="inlineStr">
        <is>
          <t>5451 WELLINGTON RD GAINESVILLE, VA 20155</t>
        </is>
      </c>
      <c r="W26" t="inlineStr">
        <is>
          <t>Wellington Road West (Planned)</t>
        </is>
      </c>
      <c r="AC26" t="inlineStr">
        <is>
          <t>7b3b0a5f-c395-47c0-99c0-eb53f411acb3</t>
        </is>
      </c>
      <c r="AD26" t="inlineStr">
        <is>
          <t>Build_Out_Analysis/10 (campuses); Build_Out_Analysis/9 (buildings)</t>
        </is>
      </c>
      <c r="AE26" t="inlineStr">
        <is>
          <t>https://gisweb.pwcva.gov/arcgis/rest/services/Planning/Build_Out_Analysis/MapServer/10/85?f=html | https://gisweb.pwcva.gov/arcgis/rest/services/Planning/Build_Out_Analysis/MapServer/9/query?where=GPIN IS NOT NULL&amp;outFields=*&amp;f=html (buildings joined spatially)</t>
        </is>
      </c>
      <c r="AF26" t="inlineStr">
        <is>
          <t>2026-09-25</t>
        </is>
      </c>
    </row>
    <row r="27">
      <c r="A27" t="n">
        <v>26</v>
      </c>
      <c r="B27" t="inlineStr">
        <is>
          <t>Aligned Manassas</t>
        </is>
      </c>
      <c r="C27" t="n">
        <v>1</v>
      </c>
      <c r="D27" t="inlineStr">
        <is>
          <t>Blackburn Land Bay 5</t>
        </is>
      </c>
      <c r="E27" t="inlineStr">
        <is>
          <t>REZ2019-00022</t>
        </is>
      </c>
      <c r="F27" t="inlineStr">
        <is>
          <t>REZ2019-00022</t>
        </is>
      </c>
      <c r="G27" t="inlineStr">
        <is>
          <t>Approved / Planned</t>
        </is>
      </c>
      <c r="H27" t="inlineStr">
        <is>
          <t>Planned</t>
        </is>
      </c>
      <c r="J27" t="inlineStr">
        <is>
          <t>Approved</t>
        </is>
      </c>
      <c r="K27" t="inlineStr">
        <is>
          <t>Rule 3: campus ProjectStatus Planned</t>
        </is>
      </c>
      <c r="L27" t="n">
        <v>28.36</v>
      </c>
      <c r="M27" t="n">
        <v>1275141</v>
      </c>
      <c r="N27" t="n">
        <v>432742</v>
      </c>
      <c r="O27" t="n">
        <v>1</v>
      </c>
      <c r="P27" t="inlineStr">
        <is>
          <t>Planned: 1</t>
        </is>
      </c>
      <c r="Q27" t="n">
        <v>432742</v>
      </c>
      <c r="R27" t="inlineStr">
        <is>
          <t>Gainesville</t>
        </is>
      </c>
      <c r="S27" t="inlineStr">
        <is>
          <t>Yes</t>
        </is>
      </c>
      <c r="T27" t="inlineStr">
        <is>
          <t>PMD</t>
        </is>
      </c>
      <c r="U27" t="inlineStr">
        <is>
          <t>7597-95-8953</t>
        </is>
      </c>
      <c r="V27" t="inlineStr">
        <is>
          <t>10920 BALLS FORD RD</t>
        </is>
      </c>
      <c r="W27" t="inlineStr">
        <is>
          <t>Aligned Data Centers IAD05 (Planned)</t>
        </is>
      </c>
      <c r="AA27" t="inlineStr">
        <is>
          <t>REZ2019-00022 [Rezoning - Proffer Amendment; Approved; case number]</t>
        </is>
      </c>
      <c r="AC27" t="inlineStr">
        <is>
          <t>bbbe6bc1-1a71-4b91-a844-a742a14e031d</t>
        </is>
      </c>
      <c r="AD27" t="inlineStr">
        <is>
          <t>Build_Out_Analysis/10 (campuses); Build_Out_Analysis/9 (buildings); ePortal</t>
        </is>
      </c>
      <c r="AE27" t="inlineStr">
        <is>
          <t>https://gisweb.pwcva.gov/arcgis/rest/services/Planning/Build_Out_Analysis/MapServer/10/38?f=html | https://gisweb.pwcva.gov/arcgis/rest/services/Planning/Build_Out_Analysis/MapServer/9/query?where=GPIN IS NOT NULL&amp;outFields=*&amp;f=html (buildings joined spatially) | https://egcss.pwcgov.org/SelfService#/home</t>
        </is>
      </c>
      <c r="AF27" t="inlineStr">
        <is>
          <t>2026-09-25</t>
        </is>
      </c>
    </row>
    <row r="28">
      <c r="A28" t="n">
        <v>27</v>
      </c>
      <c r="B28" t="inlineStr">
        <is>
          <t>Amazon Colchester Industrial Park</t>
        </is>
      </c>
      <c r="C28" t="n">
        <v>2</v>
      </c>
      <c r="D28" t="inlineStr">
        <is>
          <t>Mid-County Industrial Park</t>
        </is>
      </c>
      <c r="E28" t="inlineStr">
        <is>
          <t>REZ2024-00006</t>
        </is>
      </c>
      <c r="F28" t="inlineStr">
        <is>
          <t>REZ2024-00006</t>
        </is>
      </c>
      <c r="G28" t="inlineStr">
        <is>
          <t>Approved / Planned</t>
        </is>
      </c>
      <c r="H28" t="inlineStr">
        <is>
          <t>Planned</t>
        </is>
      </c>
      <c r="J28" t="inlineStr">
        <is>
          <t>Approved</t>
        </is>
      </c>
      <c r="K28" t="inlineStr">
        <is>
          <t>Rule 3: campus ProjectStatus Planned</t>
        </is>
      </c>
      <c r="L28" t="n">
        <v>64.11</v>
      </c>
      <c r="M28" t="n">
        <v>664715</v>
      </c>
      <c r="N28" t="n">
        <v>664715</v>
      </c>
      <c r="O28" t="n">
        <v>2</v>
      </c>
      <c r="P28" t="inlineStr">
        <is>
          <t>Planned: 2</t>
        </is>
      </c>
      <c r="Q28" t="n">
        <v>448346</v>
      </c>
      <c r="R28" t="inlineStr">
        <is>
          <t>Coles</t>
        </is>
      </c>
      <c r="S28" t="inlineStr">
        <is>
          <t>Yes</t>
        </is>
      </c>
      <c r="T28" t="inlineStr">
        <is>
          <t>M-2 M/T</t>
        </is>
      </c>
      <c r="U28" t="inlineStr">
        <is>
          <t>7991-45-0874</t>
        </is>
      </c>
      <c r="V28" t="inlineStr">
        <is>
          <t>14901 DUMFRIES RD</t>
        </is>
      </c>
      <c r="W28" t="inlineStr">
        <is>
          <t>Amazon Colchester Industrial Park 1 (Planned); Amazon Colchester Industrial Park 2 (Planned)</t>
        </is>
      </c>
      <c r="AA28" t="inlineStr">
        <is>
          <t>REZ2024-00006 [Rezoning - Non-Residential; Approved; case number]; SPR2026-00297 [Site Plan - Final; Pending; name exact]</t>
        </is>
      </c>
      <c r="AB28" t="inlineStr">
        <is>
          <t>SPR2026-00297 (Pending)</t>
        </is>
      </c>
      <c r="AC28" t="inlineStr">
        <is>
          <t>3dd0c08d-d7fa-483c-8e0f-1913eb303cd0</t>
        </is>
      </c>
      <c r="AD28" t="inlineStr">
        <is>
          <t>Build_Out_Analysis/10 (campuses); Build_Out_Analysis/9 (buildings); ePortal</t>
        </is>
      </c>
      <c r="AE28" t="inlineStr">
        <is>
          <t>https://gisweb.pwcva.gov/arcgis/rest/services/Planning/Build_Out_Analysis/MapServer/10/32?f=html | https://gisweb.pwcva.gov/arcgis/rest/services/Planning/Build_Out_Analysis/MapServer/9/query?where=GPIN IS NOT NULL&amp;outFields=*&amp;f=html (buildings joined spatially) | https://egcss.pwcgov.org/SelfService#/home</t>
        </is>
      </c>
      <c r="AF28" t="inlineStr">
        <is>
          <t>2026-09-25</t>
        </is>
      </c>
    </row>
    <row r="29">
      <c r="A29" t="n">
        <v>28</v>
      </c>
      <c r="B29" t="inlineStr">
        <is>
          <t>Amazon Innovation Drive</t>
        </is>
      </c>
      <c r="C29" t="n">
        <v>5</v>
      </c>
      <c r="D29" t="inlineStr">
        <is>
          <t>Eli Lilly at Innovation</t>
        </is>
      </c>
      <c r="E29" t="inlineStr">
        <is>
          <t>PLN2007-00749</t>
        </is>
      </c>
      <c r="F29" t="inlineStr">
        <is>
          <t>PLN2007-00749; PLN2007-0074</t>
        </is>
      </c>
      <c r="G29" t="inlineStr">
        <is>
          <t>Approved / Planned</t>
        </is>
      </c>
      <c r="H29" t="inlineStr">
        <is>
          <t>Planned</t>
        </is>
      </c>
      <c r="K29" t="inlineStr">
        <is>
          <t>Rule 3: campus ProjectStatus Planned</t>
        </is>
      </c>
      <c r="L29" t="n">
        <v>78.39</v>
      </c>
      <c r="M29" t="n">
        <v>1087901</v>
      </c>
      <c r="N29" t="n">
        <v>201000</v>
      </c>
      <c r="O29" t="n">
        <v>5</v>
      </c>
      <c r="P29" t="inlineStr">
        <is>
          <t>Completed: 4; Planned: 1</t>
        </is>
      </c>
      <c r="Q29" t="n">
        <v>1087901</v>
      </c>
      <c r="R29" t="inlineStr">
        <is>
          <t>Brentsville</t>
        </is>
      </c>
      <c r="S29" t="inlineStr">
        <is>
          <t>Yes</t>
        </is>
      </c>
      <c r="T29" t="inlineStr">
        <is>
          <t>PBD</t>
        </is>
      </c>
      <c r="U29" t="inlineStr">
        <is>
          <t>7695-17-9607; 7695-26-4469; 7695-26-7645; 7695-36-1324</t>
        </is>
      </c>
      <c r="V29" t="inlineStr">
        <is>
          <t>9670 INNOVATION DR; 9680 INNOVATION DR; 9700 INNOVATION DR; 9720 INNOVATION DR; 9740 INNOVATION DR</t>
        </is>
      </c>
      <c r="W29" t="inlineStr">
        <is>
          <t>Amazon AWS IAD-104 (Completed); Amazon AWS IAD-105 (Completed); Amazon AWS IAD-106 (Completed); Amazon AWS IAD-107 (Completed); Amazon AWS IAD-F (Planned)</t>
        </is>
      </c>
      <c r="X29" t="inlineStr">
        <is>
          <t>BLD2022-01092 (Finaled); BLD2022-03130 (Finaled); BLD2022-04680 (Finaled); BLD2023-00752 (Finaled)</t>
        </is>
      </c>
      <c r="AC29" t="inlineStr">
        <is>
          <t>8faefd73-d028-45e0-8b57-2c5d46df942d</t>
        </is>
      </c>
      <c r="AD29" t="inlineStr">
        <is>
          <t>Build_Out_Analysis/10 (campuses); Build_Out_Analysis/9 (buildings)</t>
        </is>
      </c>
      <c r="AE29" t="inlineStr">
        <is>
          <t>https://gisweb.pwcva.gov/arcgis/rest/services/Planning/Build_Out_Analysis/MapServer/10/24?f=html | https://gisweb.pwcva.gov/arcgis/rest/services/Planning/Build_Out_Analysis/MapServer/9/query?where=GPIN IS NOT NULL&amp;outFields=*&amp;f=html (buildings joined spatially)</t>
        </is>
      </c>
      <c r="AF29" t="inlineStr">
        <is>
          <t>2026-09-25</t>
        </is>
      </c>
      <c r="AG29" t="inlineStr">
        <is>
          <t>4 building(s) already Completed on this campus</t>
        </is>
      </c>
    </row>
    <row r="30">
      <c r="A30" t="n">
        <v>29</v>
      </c>
      <c r="B30" t="inlineStr">
        <is>
          <t>Amazon Parsons Business Park</t>
        </is>
      </c>
      <c r="C30" t="n">
        <v>6</v>
      </c>
      <c r="D30" t="inlineStr">
        <is>
          <t>Parson Business Park</t>
        </is>
      </c>
      <c r="E30" t="inlineStr">
        <is>
          <t>REZ2023-00028</t>
        </is>
      </c>
      <c r="F30" t="inlineStr">
        <is>
          <t>REZ2023-00028</t>
        </is>
      </c>
      <c r="G30" t="inlineStr">
        <is>
          <t>Approved / Planned</t>
        </is>
      </c>
      <c r="H30" t="inlineStr">
        <is>
          <t>Planned</t>
        </is>
      </c>
      <c r="J30" t="inlineStr">
        <is>
          <t>Approved</t>
        </is>
      </c>
      <c r="K30" t="inlineStr">
        <is>
          <t>Rule 3: campus ProjectStatus Planned</t>
        </is>
      </c>
      <c r="L30" t="n">
        <v>96.90000000000001</v>
      </c>
      <c r="M30" t="n">
        <v>1876409</v>
      </c>
      <c r="N30" t="n">
        <v>1096340</v>
      </c>
      <c r="O30" t="n">
        <v>6</v>
      </c>
      <c r="P30" t="inlineStr">
        <is>
          <t>Planned: 6</t>
        </is>
      </c>
      <c r="Q30" t="n">
        <v>1096340</v>
      </c>
      <c r="R30" t="inlineStr">
        <is>
          <t>Coles</t>
        </is>
      </c>
      <c r="S30" t="inlineStr">
        <is>
          <t>Yes</t>
        </is>
      </c>
      <c r="T30" t="inlineStr">
        <is>
          <t>PBD</t>
        </is>
      </c>
      <c r="U30" t="inlineStr">
        <is>
          <t>7891-69-0322</t>
        </is>
      </c>
      <c r="V30" t="inlineStr">
        <is>
          <t>14237 DUMFRIES RD</t>
        </is>
      </c>
      <c r="W30" t="inlineStr">
        <is>
          <t>Amazon Parsons Business Park 1 (Planned); Amazon Parsons Business Park 2 (Planned); Amazon Parsons Business Park 3 (Planned); Amazon Parsons Business Park 4 (Planned); Amazon Parsons Business Park 5 (Planned); Amazon Parsons Business Park 6 (Planned)</t>
        </is>
      </c>
      <c r="AA30" t="inlineStr">
        <is>
          <t>REZ2023-00028 [Rezoning - Proffer Amendment; Approved; case number]; SPR2026-00338 [Site Plan - Final; Pending; GPIN (building parcel)]</t>
        </is>
      </c>
      <c r="AB30" t="inlineStr">
        <is>
          <t>SPR2026-00338 (Pending)</t>
        </is>
      </c>
      <c r="AC30" t="inlineStr">
        <is>
          <t>f202a52f-d21d-48eb-ab3e-8577eaaaff93</t>
        </is>
      </c>
      <c r="AD30" t="inlineStr">
        <is>
          <t>Build_Out_Analysis/10 (campuses); Build_Out_Analysis/9 (buildings); ePortal</t>
        </is>
      </c>
      <c r="AE30" t="inlineStr">
        <is>
          <t>https://gisweb.pwcva.gov/arcgis/rest/services/Planning/Build_Out_Analysis/MapServer/10/33?f=html | https://gisweb.pwcva.gov/arcgis/rest/services/Planning/Build_Out_Analysis/MapServer/9/query?where=GPIN IS NOT NULL&amp;outFields=*&amp;f=html (buildings joined spatially) | https://egcss.pwcgov.org/SelfService#/home</t>
        </is>
      </c>
      <c r="AF30" t="inlineStr">
        <is>
          <t>2026-09-25</t>
        </is>
      </c>
    </row>
    <row r="31">
      <c r="A31" t="n">
        <v>30</v>
      </c>
      <c r="B31" t="inlineStr">
        <is>
          <t>Astrid</t>
        </is>
      </c>
      <c r="C31" t="n">
        <v>2</v>
      </c>
      <c r="D31" t="inlineStr">
        <is>
          <t>BOCS - ARC</t>
        </is>
      </c>
      <c r="E31" t="inlineStr">
        <is>
          <t>REZ1958-0021</t>
        </is>
      </c>
      <c r="F31" t="inlineStr">
        <is>
          <t>REZ1958-0021</t>
        </is>
      </c>
      <c r="G31" t="inlineStr">
        <is>
          <t>Approved / Planned</t>
        </is>
      </c>
      <c r="H31" t="inlineStr">
        <is>
          <t>Planned</t>
        </is>
      </c>
      <c r="K31" t="inlineStr">
        <is>
          <t>Rule 3: campus ProjectStatus Planned</t>
        </is>
      </c>
      <c r="L31" t="n">
        <v>181.29</v>
      </c>
      <c r="M31" t="n">
        <v>2800000</v>
      </c>
      <c r="N31" t="n">
        <v>2800000</v>
      </c>
      <c r="O31" t="n">
        <v>2</v>
      </c>
      <c r="P31" t="inlineStr">
        <is>
          <t>Planned: 2</t>
        </is>
      </c>
      <c r="Q31" t="n">
        <v>2800000</v>
      </c>
      <c r="R31" t="inlineStr">
        <is>
          <t>Brentsville</t>
        </is>
      </c>
      <c r="S31" t="inlineStr">
        <is>
          <t>Yes</t>
        </is>
      </c>
      <c r="T31" t="inlineStr">
        <is>
          <t>M-1</t>
        </is>
      </c>
      <c r="U31" t="inlineStr">
        <is>
          <t>7497-61-8568</t>
        </is>
      </c>
      <c r="V31" t="inlineStr">
        <is>
          <t>6201 WELLINGTON RD</t>
        </is>
      </c>
      <c r="W31" t="inlineStr">
        <is>
          <t>Astrid North (Planned); Astrid South (Planned)</t>
        </is>
      </c>
      <c r="AA31" t="inlineStr">
        <is>
          <t>SPR2026-00360 [Site Plan - Final; Pending; GPIN (building parcel)]</t>
        </is>
      </c>
      <c r="AB31" t="inlineStr">
        <is>
          <t>SPR2026-00360 (Pending)</t>
        </is>
      </c>
      <c r="AC31" t="inlineStr">
        <is>
          <t>7b3b0a5f-c395-47c0-99c0-eb53f411acb3</t>
        </is>
      </c>
      <c r="AD31" t="inlineStr">
        <is>
          <t>Build_Out_Analysis/10 (campuses); Build_Out_Analysis/9 (buildings); ePortal</t>
        </is>
      </c>
      <c r="AE31" t="inlineStr">
        <is>
          <t>https://gisweb.pwcva.gov/arcgis/rest/services/Planning/Build_Out_Analysis/MapServer/10/127?f=html | https://gisweb.pwcva.gov/arcgis/rest/services/Planning/Build_Out_Analysis/MapServer/9/query?where=GPIN IS NOT NULL&amp;outFields=*&amp;f=html (buildings joined spatially) | https://egcss.pwcgov.org/SelfService#/home</t>
        </is>
      </c>
      <c r="AF31" t="inlineStr">
        <is>
          <t>2026-09-25</t>
        </is>
      </c>
    </row>
    <row r="32">
      <c r="A32" t="n">
        <v>31</v>
      </c>
      <c r="B32" t="inlineStr">
        <is>
          <t>Century Park</t>
        </is>
      </c>
      <c r="C32" t="n">
        <v>1</v>
      </c>
      <c r="D32" t="inlineStr">
        <is>
          <t>WHEELER SMITH WOOD SOLITE</t>
        </is>
      </c>
      <c r="E32" t="inlineStr">
        <is>
          <t>REZ1969-0021</t>
        </is>
      </c>
      <c r="F32" t="inlineStr">
        <is>
          <t>REZ1969-0021</t>
        </is>
      </c>
      <c r="G32" t="inlineStr">
        <is>
          <t>Approved / Planned</t>
        </is>
      </c>
      <c r="H32" t="inlineStr">
        <is>
          <t>Planned</t>
        </is>
      </c>
      <c r="K32" t="inlineStr">
        <is>
          <t>Rule 3: campus ProjectStatus Planned</t>
        </is>
      </c>
      <c r="L32" t="n">
        <v>24.67</v>
      </c>
      <c r="M32" t="n">
        <v>620000</v>
      </c>
      <c r="N32" t="n">
        <v>620000</v>
      </c>
      <c r="O32" t="n">
        <v>1</v>
      </c>
      <c r="P32" t="inlineStr">
        <is>
          <t>Planned: 1</t>
        </is>
      </c>
      <c r="Q32" t="n">
        <v>620000</v>
      </c>
      <c r="R32" t="inlineStr">
        <is>
          <t>Gainesville</t>
        </is>
      </c>
      <c r="S32" t="inlineStr">
        <is>
          <t>Yes</t>
        </is>
      </c>
      <c r="T32" t="inlineStr">
        <is>
          <t>M-1</t>
        </is>
      </c>
      <c r="U32" t="inlineStr">
        <is>
          <t>7597-53-0484</t>
        </is>
      </c>
      <c r="V32" t="inlineStr">
        <is>
          <t>7501 CENTURY PARK DR</t>
        </is>
      </c>
      <c r="W32" t="inlineStr">
        <is>
          <t>Century Park - McLane Site (Planned)</t>
        </is>
      </c>
      <c r="AA32" t="inlineStr">
        <is>
          <t>SPR2027-00084 [Site Plan - Final; Pending; GPIN (building parcel)]</t>
        </is>
      </c>
      <c r="AB32" t="inlineStr">
        <is>
          <t>SPR2027-00084 (Pending)</t>
        </is>
      </c>
      <c r="AC32" t="inlineStr">
        <is>
          <t>06882327-a3cd-4bd2-9646-9f72bd231847</t>
        </is>
      </c>
      <c r="AD32" t="inlineStr">
        <is>
          <t>Build_Out_Analysis/10 (campuses); Build_Out_Analysis/9 (buildings); ePortal</t>
        </is>
      </c>
      <c r="AE32" t="inlineStr">
        <is>
          <t>https://gisweb.pwcva.gov/arcgis/rest/services/Planning/Build_Out_Analysis/MapServer/10/563?f=html | https://gisweb.pwcva.gov/arcgis/rest/services/Planning/Build_Out_Analysis/MapServer/9/query?where=GPIN IS NOT NULL&amp;outFields=*&amp;f=html (buildings joined spatially) | https://egcss.pwcgov.org/SelfService#/home</t>
        </is>
      </c>
      <c r="AF32" t="inlineStr">
        <is>
          <t>2026-09-25</t>
        </is>
      </c>
    </row>
    <row r="33">
      <c r="A33" t="n">
        <v>32</v>
      </c>
      <c r="B33" t="inlineStr">
        <is>
          <t>Century Park Phase 2 &amp; 3</t>
        </is>
      </c>
      <c r="C33" t="n">
        <v>2</v>
      </c>
      <c r="D33" t="inlineStr">
        <is>
          <t>WHEELER SMITH WOOD SOLITE</t>
        </is>
      </c>
      <c r="E33" t="inlineStr">
        <is>
          <t>REZ1969-0021</t>
        </is>
      </c>
      <c r="F33" t="inlineStr">
        <is>
          <t>REZ1969-0021</t>
        </is>
      </c>
      <c r="G33" t="inlineStr">
        <is>
          <t>Approved / Planned</t>
        </is>
      </c>
      <c r="H33" t="inlineStr">
        <is>
          <t>Planned</t>
        </is>
      </c>
      <c r="K33" t="inlineStr">
        <is>
          <t>Rule 3: campus ProjectStatus Planned</t>
        </is>
      </c>
      <c r="L33" t="n">
        <v>27.3</v>
      </c>
      <c r="M33" t="n">
        <v>416000</v>
      </c>
      <c r="N33" t="n">
        <v>416000</v>
      </c>
      <c r="O33" t="n">
        <v>2</v>
      </c>
      <c r="P33" t="inlineStr">
        <is>
          <t>Planned: 2</t>
        </is>
      </c>
      <c r="Q33" t="n">
        <v>416000</v>
      </c>
      <c r="R33" t="inlineStr">
        <is>
          <t>Gainesville</t>
        </is>
      </c>
      <c r="S33" t="inlineStr">
        <is>
          <t>Yes</t>
        </is>
      </c>
      <c r="T33" t="inlineStr">
        <is>
          <t>M-1</t>
        </is>
      </c>
      <c r="U33" t="inlineStr">
        <is>
          <t>7597-54-1893; 7597-54-9420</t>
        </is>
      </c>
      <c r="V33" t="inlineStr">
        <is>
          <t>7101 CENTURY PARK DR; 7300 CENTURY PARK DR</t>
        </is>
      </c>
      <c r="W33" t="inlineStr">
        <is>
          <t>Century Park 1 (Planned); Century Park 2 (Planned)</t>
        </is>
      </c>
      <c r="AA33" t="inlineStr">
        <is>
          <t>SPR2026-00336 [Site Plan - Final; Pending; GPIN (building parcel)]</t>
        </is>
      </c>
      <c r="AB33" t="inlineStr">
        <is>
          <t>SPR2026-00336 (Pending)</t>
        </is>
      </c>
      <c r="AC33" t="inlineStr">
        <is>
          <t>06882327-a3cd-4bd2-9646-9f72bd231847</t>
        </is>
      </c>
      <c r="AD33" t="inlineStr">
        <is>
          <t>Build_Out_Analysis/10 (campuses); Build_Out_Analysis/9 (buildings); ePortal</t>
        </is>
      </c>
      <c r="AE33" t="inlineStr">
        <is>
          <t>https://gisweb.pwcva.gov/arcgis/rest/services/Planning/Build_Out_Analysis/MapServer/10/130?f=html | https://gisweb.pwcva.gov/arcgis/rest/services/Planning/Build_Out_Analysis/MapServer/9/query?where=GPIN IS NOT NULL&amp;outFields=*&amp;f=html (buildings joined spatially) | https://egcss.pwcgov.org/SelfService#/home</t>
        </is>
      </c>
      <c r="AF33" t="inlineStr">
        <is>
          <t>2026-09-25</t>
        </is>
      </c>
    </row>
    <row r="34">
      <c r="A34" t="n">
        <v>33</v>
      </c>
      <c r="B34" t="inlineStr">
        <is>
          <t>CorScale Gainesville Crossing</t>
        </is>
      </c>
      <c r="C34" t="n">
        <v>5</v>
      </c>
      <c r="D34" t="inlineStr">
        <is>
          <t>Gainesville Crossing</t>
        </is>
      </c>
      <c r="E34" t="inlineStr">
        <is>
          <t>REZ2018-00008</t>
        </is>
      </c>
      <c r="F34" t="inlineStr">
        <is>
          <t>REZ2018-00008; SUP2019-00029</t>
        </is>
      </c>
      <c r="G34" t="inlineStr">
        <is>
          <t>Approved / Planned</t>
        </is>
      </c>
      <c r="H34" t="inlineStr">
        <is>
          <t>Planned</t>
        </is>
      </c>
      <c r="J34" t="inlineStr">
        <is>
          <t>Approved</t>
        </is>
      </c>
      <c r="K34" t="inlineStr">
        <is>
          <t>Rule 3: campus ProjectStatus Planned</t>
        </is>
      </c>
      <c r="L34" t="n">
        <v>129.75</v>
      </c>
      <c r="M34" t="n">
        <v>1981643</v>
      </c>
      <c r="N34" t="n">
        <v>1499420</v>
      </c>
      <c r="O34" t="n">
        <v>5</v>
      </c>
      <c r="P34" t="inlineStr">
        <is>
          <t>Completed: 3; Planned: 2</t>
        </is>
      </c>
      <c r="Q34" t="n">
        <v>2251851</v>
      </c>
      <c r="R34" t="inlineStr">
        <is>
          <t>Gainesville</t>
        </is>
      </c>
      <c r="S34" t="inlineStr">
        <is>
          <t>No</t>
        </is>
      </c>
      <c r="T34" t="inlineStr">
        <is>
          <t>PBD</t>
        </is>
      </c>
      <c r="U34" t="inlineStr">
        <is>
          <t>7497-45-3874; 7497-45-9757; 7497-46-2858; 7497-55-7796; 7497-57-7904</t>
        </is>
      </c>
      <c r="V34" t="inlineStr">
        <is>
          <t>13710 UNIVERSITY BLVD; 13720 UNIVERSITY BLVD; 13746 UNIVERSITY BLVD; 13750 UNIVERSITY BLVD; 13760 UNIVERSITY BLVD</t>
        </is>
      </c>
      <c r="W34" t="inlineStr">
        <is>
          <t>Corscale Gainesville Crossing 1 (Completed); Corscale Gainesville Crossing 2 (Completed); Corscale Gainesville Crossing 3 (Completed); Corscale Gainesville Crossing 4 (Planned); Corscale Gainesville Crossing 5 (Planned)</t>
        </is>
      </c>
      <c r="X34" t="inlineStr">
        <is>
          <t>BLD2021-08185 (Finaled); BLD2023-02498 (Finaled); BLD2024-07030 (Finaled); BLD2026-04211 (Pending)</t>
        </is>
      </c>
      <c r="AA34" t="inlineStr">
        <is>
          <t>REZ2018-00008 [Rezoning - Mixed Use; Approved; case number]; SPR2024-00358 [Site Plan - Final; Approved; GPIN (building parcel)]; SUP2019-00029 [Special Use Permit - New Application; Withdrawn; case number REZ2018-00008 referenced in description]</t>
        </is>
      </c>
      <c r="AC34" t="inlineStr">
        <is>
          <t>e84871aa-43c8-4189-9b23-16244c45106e</t>
        </is>
      </c>
      <c r="AD34" t="inlineStr">
        <is>
          <t>Build_Out_Analysis/10 (campuses); Build_Out_Analysis/9 (buildings); ePortal</t>
        </is>
      </c>
      <c r="AE34" t="inlineStr">
        <is>
          <t>https://gisweb.pwcva.gov/arcgis/rest/services/Planning/Build_Out_Analysis/MapServer/10/4?f=html | https://gisweb.pwcva.gov/arcgis/rest/services/Planning/Build_Out_Analysis/MapServer/9/query?where=GPIN IS NOT NULL&amp;outFields=*&amp;f=html (buildings joined spatially) | https://egcss.pwcgov.org/SelfService#/home</t>
        </is>
      </c>
      <c r="AF34" t="inlineStr">
        <is>
          <t>2026-10-01</t>
        </is>
      </c>
      <c r="AG34" t="inlineStr">
        <is>
          <t>3 building(s) already Completed on this campus</t>
        </is>
      </c>
    </row>
    <row r="35">
      <c r="A35" t="n">
        <v>34</v>
      </c>
      <c r="B35" t="inlineStr">
        <is>
          <t>Devlin Technology Park</t>
        </is>
      </c>
      <c r="C35" t="n">
        <v>8</v>
      </c>
      <c r="D35" t="inlineStr">
        <is>
          <t>Devlin Technology Park</t>
        </is>
      </c>
      <c r="E35" t="inlineStr">
        <is>
          <t>REZ2022-00022</t>
        </is>
      </c>
      <c r="F35" t="inlineStr">
        <is>
          <t>REZ2022-00022; CPA2022-00015</t>
        </is>
      </c>
      <c r="G35" t="inlineStr">
        <is>
          <t>Approved / Planned</t>
        </is>
      </c>
      <c r="H35" t="inlineStr">
        <is>
          <t>Planned</t>
        </is>
      </c>
      <c r="J35" t="inlineStr">
        <is>
          <t>Approved</t>
        </is>
      </c>
      <c r="K35" t="inlineStr">
        <is>
          <t>Rule 3: campus ProjectStatus Planned</t>
        </is>
      </c>
      <c r="L35" t="n">
        <v>184.84</v>
      </c>
      <c r="M35" t="n">
        <v>3530000</v>
      </c>
      <c r="N35" t="n">
        <v>3530000</v>
      </c>
      <c r="O35" t="n">
        <v>8</v>
      </c>
      <c r="P35" t="inlineStr">
        <is>
          <t>Planned: 8</t>
        </is>
      </c>
      <c r="Q35" t="n">
        <v>1783600</v>
      </c>
      <c r="R35" t="inlineStr">
        <is>
          <t>Brentsville</t>
        </is>
      </c>
      <c r="S35" t="inlineStr">
        <is>
          <t>Yes</t>
        </is>
      </c>
      <c r="T35" t="inlineStr">
        <is>
          <t>M-2</t>
        </is>
      </c>
      <c r="U35" t="inlineStr">
        <is>
          <t>7496-63-4453</t>
        </is>
      </c>
      <c r="V35" t="inlineStr">
        <is>
          <t>9000 DEVLIN RD</t>
        </is>
      </c>
      <c r="W35" t="inlineStr">
        <is>
          <t>Devlin Technology Park A (Planned); Devlin Technology Park B (Planned); Devlin Technology Park C (Planned); Devlin Technology Park D (Planned); Devlin Technology Park E (Planned); Devlin Technology Park F (Planned); Devlin Technology Park G (Planned); Devlin Technology Park H (Planned)</t>
        </is>
      </c>
      <c r="AA35" t="inlineStr">
        <is>
          <t>CPA2022-00015 [Comp Plan Amendment (Concurrent with Rezoning); Dismissed; name exact]; REZ2022-00022 [Rezoning - Non-Residential; Approved; case number]; SPR2026-00332 [Site Plan - Final; Pending; GPIN (building parcel)]</t>
        </is>
      </c>
      <c r="AB35" t="inlineStr">
        <is>
          <t>SPR2026-00332 (Pending)</t>
        </is>
      </c>
      <c r="AC35" t="inlineStr">
        <is>
          <t>323d298e-a0ad-4dc7-accd-f6b27b404c50</t>
        </is>
      </c>
      <c r="AD35" t="inlineStr">
        <is>
          <t>Build_Out_Analysis/10 (campuses); Build_Out_Analysis/9 (buildings); ePortal</t>
        </is>
      </c>
      <c r="AE35" t="inlineStr">
        <is>
          <t>https://gisweb.pwcva.gov/arcgis/rest/services/Planning/Build_Out_Analysis/MapServer/10/7?f=html | https://gisweb.pwcva.gov/arcgis/rest/services/Planning/Build_Out_Analysis/MapServer/9/query?where=GPIN IS NOT NULL&amp;outFields=*&amp;f=html (buildings joined spatially) | https://egcss.pwcgov.org/SelfService#/home</t>
        </is>
      </c>
      <c r="AF35" t="inlineStr">
        <is>
          <t>2026-10-01</t>
        </is>
      </c>
    </row>
    <row r="36">
      <c r="A36" t="n">
        <v>35</v>
      </c>
      <c r="B36" t="inlineStr">
        <is>
          <t>Digital Realty</t>
        </is>
      </c>
      <c r="C36" t="n">
        <v>2</v>
      </c>
      <c r="D36" t="inlineStr">
        <is>
          <t>BOCS</t>
        </is>
      </c>
      <c r="E36" t="inlineStr">
        <is>
          <t>REZ1958-0021</t>
        </is>
      </c>
      <c r="F36" t="inlineStr">
        <is>
          <t>REZ1958-0021</t>
        </is>
      </c>
      <c r="G36" t="inlineStr">
        <is>
          <t>Approved / Planned</t>
        </is>
      </c>
      <c r="H36" t="inlineStr">
        <is>
          <t>Planned</t>
        </is>
      </c>
      <c r="K36" t="inlineStr">
        <is>
          <t>Rule 3: campus ProjectStatus Planned</t>
        </is>
      </c>
      <c r="L36" t="n">
        <v>31.77</v>
      </c>
      <c r="M36" t="n">
        <v>382892</v>
      </c>
      <c r="N36" t="n">
        <v>155427</v>
      </c>
      <c r="O36" t="n">
        <v>2</v>
      </c>
      <c r="P36" t="inlineStr">
        <is>
          <t>Completed: 1; Planned: 1</t>
        </is>
      </c>
      <c r="Q36" t="n">
        <v>382892</v>
      </c>
      <c r="R36" t="inlineStr">
        <is>
          <t>Brentsville</t>
        </is>
      </c>
      <c r="S36" t="inlineStr">
        <is>
          <t>Yes</t>
        </is>
      </c>
      <c r="T36" t="inlineStr">
        <is>
          <t>M-1</t>
        </is>
      </c>
      <c r="U36" t="inlineStr">
        <is>
          <t>7496-07-8757</t>
        </is>
      </c>
      <c r="V36" t="inlineStr">
        <is>
          <t>8217 LINTON HALL RD</t>
        </is>
      </c>
      <c r="W36" t="inlineStr">
        <is>
          <t>Digital Realty VA4 (Completed); Digital Realty VA5 (Planned)</t>
        </is>
      </c>
      <c r="X36" t="inlineStr">
        <is>
          <t>BLD2001-04142 (Finaled)</t>
        </is>
      </c>
      <c r="AC36" t="inlineStr">
        <is>
          <t>7b3b0a5f-c395-47c0-99c0-eb53f411acb3</t>
        </is>
      </c>
      <c r="AD36" t="inlineStr">
        <is>
          <t>Build_Out_Analysis/10 (campuses); Build_Out_Analysis/9 (buildings)</t>
        </is>
      </c>
      <c r="AE36" t="inlineStr">
        <is>
          <t>https://gisweb.pwcva.gov/arcgis/rest/services/Planning/Build_Out_Analysis/MapServer/10/54?f=html | https://gisweb.pwcva.gov/arcgis/rest/services/Planning/Build_Out_Analysis/MapServer/9/query?where=GPIN IS NOT NULL&amp;outFields=*&amp;f=html (buildings joined spatially)</t>
        </is>
      </c>
      <c r="AF36" t="inlineStr">
        <is>
          <t>2026-09-25</t>
        </is>
      </c>
      <c r="AG36" t="inlineStr">
        <is>
          <t>1 building(s) already Completed on this campus</t>
        </is>
      </c>
    </row>
    <row r="37">
      <c r="A37" t="n">
        <v>36</v>
      </c>
      <c r="B37" t="inlineStr">
        <is>
          <t>DOANE DRIVE - DULLES GLASS</t>
        </is>
      </c>
      <c r="C37" t="n">
        <v>1</v>
      </c>
      <c r="D37" t="inlineStr">
        <is>
          <t>WHEELER SMITH WOOD SOLITE</t>
        </is>
      </c>
      <c r="E37" t="inlineStr">
        <is>
          <t>REZ1969-0021</t>
        </is>
      </c>
      <c r="F37" t="inlineStr">
        <is>
          <t>REZ1969-0021</t>
        </is>
      </c>
      <c r="G37" t="inlineStr">
        <is>
          <t>Approved / Planned</t>
        </is>
      </c>
      <c r="H37" t="inlineStr">
        <is>
          <t>Planned</t>
        </is>
      </c>
      <c r="K37" t="inlineStr">
        <is>
          <t>Rule 3: campus ProjectStatus Planned</t>
        </is>
      </c>
      <c r="L37" t="n">
        <v>6.89</v>
      </c>
      <c r="M37" t="n">
        <v>242530</v>
      </c>
      <c r="N37" t="n">
        <v>242530</v>
      </c>
      <c r="O37" t="n">
        <v>1</v>
      </c>
      <c r="P37" t="inlineStr">
        <is>
          <t>Planned: 1</t>
        </is>
      </c>
      <c r="Q37" t="n">
        <v>242530</v>
      </c>
      <c r="R37" t="inlineStr">
        <is>
          <t>Gainesville</t>
        </is>
      </c>
      <c r="S37" t="inlineStr">
        <is>
          <t>Yes</t>
        </is>
      </c>
      <c r="T37" t="inlineStr">
        <is>
          <t>M-1</t>
        </is>
      </c>
      <c r="U37" t="inlineStr">
        <is>
          <t>7597-42-8878</t>
        </is>
      </c>
      <c r="V37" t="inlineStr">
        <is>
          <t>7610 DOANE DR</t>
        </is>
      </c>
      <c r="W37" t="inlineStr">
        <is>
          <t>DOANE DRIVE - DULLES GLASS (Planned)</t>
        </is>
      </c>
      <c r="AA37" t="inlineStr">
        <is>
          <t>SPR2027-00047 [Site Plan - Final; Pending; GPIN (building parcel)]</t>
        </is>
      </c>
      <c r="AB37" t="inlineStr">
        <is>
          <t>SPR2027-00047 (Pending)</t>
        </is>
      </c>
      <c r="AC37" t="inlineStr">
        <is>
          <t>06882327-a3cd-4bd2-9646-9f72bd231847</t>
        </is>
      </c>
      <c r="AD37" t="inlineStr">
        <is>
          <t>Build_Out_Analysis/10 (campuses); Build_Out_Analysis/9 (buildings); ePortal</t>
        </is>
      </c>
      <c r="AE37" t="inlineStr">
        <is>
          <t>https://gisweb.pwcva.gov/arcgis/rest/services/Planning/Build_Out_Analysis/MapServer/10/553?f=html | https://gisweb.pwcva.gov/arcgis/rest/services/Planning/Build_Out_Analysis/MapServer/9/query?where=GPIN IS NOT NULL&amp;outFields=*&amp;f=html (buildings joined spatially) | https://egcss.pwcgov.org/SelfService#/home</t>
        </is>
      </c>
      <c r="AF37" t="inlineStr">
        <is>
          <t>2026-09-25</t>
        </is>
      </c>
    </row>
    <row r="38">
      <c r="A38" t="n">
        <v>37</v>
      </c>
      <c r="B38" t="inlineStr">
        <is>
          <t>Equinix Manassas</t>
        </is>
      </c>
      <c r="C38" t="n">
        <v>2</v>
      </c>
      <c r="D38" t="inlineStr">
        <is>
          <t>Battlefield Business Park</t>
        </is>
      </c>
      <c r="E38" t="inlineStr">
        <is>
          <t>REZ1999-0038</t>
        </is>
      </c>
      <c r="F38" t="inlineStr">
        <is>
          <t>REZ1999-0038; REZ1998-0027</t>
        </is>
      </c>
      <c r="G38" t="inlineStr">
        <is>
          <t>Approved / Planned</t>
        </is>
      </c>
      <c r="H38" t="inlineStr">
        <is>
          <t>Planned</t>
        </is>
      </c>
      <c r="K38" t="inlineStr">
        <is>
          <t>Rule 3: campus ProjectStatus Planned</t>
        </is>
      </c>
      <c r="L38" t="n">
        <v>9.779999999999999</v>
      </c>
      <c r="M38" t="n">
        <v>284472</v>
      </c>
      <c r="N38" t="n">
        <v>174672</v>
      </c>
      <c r="O38" t="n">
        <v>2</v>
      </c>
      <c r="P38" t="inlineStr">
        <is>
          <t>Completed: 1; Planned: 1</t>
        </is>
      </c>
      <c r="Q38" t="n">
        <v>284472</v>
      </c>
      <c r="R38" t="inlineStr">
        <is>
          <t>Gainesville</t>
        </is>
      </c>
      <c r="S38" t="inlineStr">
        <is>
          <t>Yes</t>
        </is>
      </c>
      <c r="T38" t="inlineStr">
        <is>
          <t>PBD</t>
        </is>
      </c>
      <c r="U38" t="inlineStr">
        <is>
          <t>7697-47-2201; 7697-47-7005</t>
        </is>
      </c>
      <c r="V38" t="inlineStr">
        <is>
          <t>7200 INFANTRY RIDGE RD; 7400 INFANTRY RIDGE RD</t>
        </is>
      </c>
      <c r="W38" t="inlineStr">
        <is>
          <t>Equinix Manassas DC14 (Completed); Equinix Manassas DC19 (Planned)</t>
        </is>
      </c>
      <c r="X38" t="inlineStr">
        <is>
          <t>BLD2006-05319 (Finaled); BLD2027-00758 (Planned)</t>
        </is>
      </c>
      <c r="AA38" t="inlineStr">
        <is>
          <t>SPR2027-00006 [Site Plan - Final; Pending; GPIN (building parcel)]</t>
        </is>
      </c>
      <c r="AB38" t="inlineStr">
        <is>
          <t>SPR2027-00006 (Pending)</t>
        </is>
      </c>
      <c r="AC38" t="inlineStr">
        <is>
          <t>8c7bc511-c750-4e31-b1ca-f6237f2ac2e8</t>
        </is>
      </c>
      <c r="AD38" t="inlineStr">
        <is>
          <t>Build_Out_Analysis/10 (campuses); Build_Out_Analysis/9 (buildings); ePortal</t>
        </is>
      </c>
      <c r="AE38" t="inlineStr">
        <is>
          <t>https://gisweb.pwcva.gov/arcgis/rest/services/Planning/Build_Out_Analysis/MapServer/10/44?f=html | https://gisweb.pwcva.gov/arcgis/rest/services/Planning/Build_Out_Analysis/MapServer/9/query?where=GPIN IS NOT NULL&amp;outFields=*&amp;f=html (buildings joined spatially) | https://egcss.pwcgov.org/SelfService#/home</t>
        </is>
      </c>
      <c r="AF38" t="inlineStr">
        <is>
          <t>2026-09-25</t>
        </is>
      </c>
      <c r="AG38" t="inlineStr">
        <is>
          <t>1 building(s) already Completed on this campus</t>
        </is>
      </c>
    </row>
    <row r="39">
      <c r="A39" t="n">
        <v>38</v>
      </c>
      <c r="B39" t="inlineStr">
        <is>
          <t>Exter Property Group</t>
        </is>
      </c>
      <c r="C39" t="n">
        <v>0</v>
      </c>
      <c r="D39" t="inlineStr">
        <is>
          <t>Linden</t>
        </is>
      </c>
      <c r="E39" t="inlineStr">
        <is>
          <t>REZ1987-0015</t>
        </is>
      </c>
      <c r="F39" t="inlineStr">
        <is>
          <t>REZ1987-0015</t>
        </is>
      </c>
      <c r="G39" t="inlineStr">
        <is>
          <t>Approved / Planned</t>
        </is>
      </c>
      <c r="H39" t="inlineStr">
        <is>
          <t>Planned</t>
        </is>
      </c>
      <c r="K39" t="inlineStr">
        <is>
          <t>Rule 3: campus ProjectStatus Planned</t>
        </is>
      </c>
      <c r="L39" t="n">
        <v>12.97</v>
      </c>
      <c r="M39" t="n">
        <v>155610</v>
      </c>
      <c r="N39" t="n">
        <v>155610</v>
      </c>
      <c r="R39" t="inlineStr">
        <is>
          <t>Gainesville</t>
        </is>
      </c>
      <c r="S39" t="inlineStr">
        <is>
          <t>Yes</t>
        </is>
      </c>
      <c r="T39" t="inlineStr">
        <is>
          <t>M-2</t>
        </is>
      </c>
      <c r="AC39" t="inlineStr">
        <is>
          <t>5645e435-f3f1-4665-bfb2-9cf6f459cc3d</t>
        </is>
      </c>
      <c r="AD39" t="inlineStr">
        <is>
          <t>Build_Out_Analysis/10 (campuses)</t>
        </is>
      </c>
      <c r="AE39" t="inlineStr">
        <is>
          <t>https://gisweb.pwcva.gov/arcgis/rest/services/Planning/Build_Out_Analysis/MapServer/10/122?f=html</t>
        </is>
      </c>
      <c r="AF39" t="inlineStr">
        <is>
          <t>2026-09-25</t>
        </is>
      </c>
    </row>
    <row r="40">
      <c r="A40" t="n">
        <v>39</v>
      </c>
      <c r="B40" t="inlineStr">
        <is>
          <t>Gainesville RLC Data Center</t>
        </is>
      </c>
      <c r="C40" t="n">
        <v>1</v>
      </c>
      <c r="D40" t="inlineStr">
        <is>
          <t>ATLANTIC RESEARCH</t>
        </is>
      </c>
      <c r="E40" t="inlineStr">
        <is>
          <t>REZ1958-0021</t>
        </is>
      </c>
      <c r="F40" t="inlineStr">
        <is>
          <t>REZ1958-0021</t>
        </is>
      </c>
      <c r="G40" t="inlineStr">
        <is>
          <t>Approved / Planned</t>
        </is>
      </c>
      <c r="H40" t="inlineStr">
        <is>
          <t>Planned</t>
        </is>
      </c>
      <c r="K40" t="inlineStr">
        <is>
          <t>Rule 3: campus ProjectStatus Planned</t>
        </is>
      </c>
      <c r="L40" t="n">
        <v>12.71</v>
      </c>
      <c r="M40" t="n">
        <v>989867</v>
      </c>
      <c r="N40" t="n">
        <v>989867</v>
      </c>
      <c r="O40" t="n">
        <v>1</v>
      </c>
      <c r="P40" t="inlineStr">
        <is>
          <t>Planned: 1</t>
        </is>
      </c>
      <c r="Q40" t="n">
        <v>989867</v>
      </c>
      <c r="R40" t="inlineStr">
        <is>
          <t>Brentsville</t>
        </is>
      </c>
      <c r="S40" t="inlineStr">
        <is>
          <t>Yes</t>
        </is>
      </c>
      <c r="T40" t="inlineStr">
        <is>
          <t>M-1</t>
        </is>
      </c>
      <c r="U40" t="inlineStr">
        <is>
          <t>7497-14-5061</t>
        </is>
      </c>
      <c r="V40" t="inlineStr">
        <is>
          <t>5547 WELLINGTON RD</t>
        </is>
      </c>
      <c r="W40" t="inlineStr">
        <is>
          <t>Gainesville RLC (Planned)</t>
        </is>
      </c>
      <c r="AA40" t="inlineStr">
        <is>
          <t>SPR2025-00022 [Site Plan - Final; Approved; GPIN (building parcel)]</t>
        </is>
      </c>
      <c r="AC40" t="inlineStr">
        <is>
          <t>7b3b0a5f-c395-47c0-99c0-eb53f411acb3</t>
        </is>
      </c>
      <c r="AD40" t="inlineStr">
        <is>
          <t>Build_Out_Analysis/10 (campuses); Build_Out_Analysis/9 (buildings); ePortal</t>
        </is>
      </c>
      <c r="AE40" t="inlineStr">
        <is>
          <t>https://gisweb.pwcva.gov/arcgis/rest/services/Planning/Build_Out_Analysis/MapServer/10/64?f=html | https://gisweb.pwcva.gov/arcgis/rest/services/Planning/Build_Out_Analysis/MapServer/9/query?where=GPIN IS NOT NULL&amp;outFields=*&amp;f=html (buildings joined spatially) | https://egcss.pwcgov.org/SelfService#/home</t>
        </is>
      </c>
      <c r="AF40" t="inlineStr">
        <is>
          <t>2026-09-25</t>
        </is>
      </c>
    </row>
    <row r="41">
      <c r="A41" t="n">
        <v>40</v>
      </c>
      <c r="B41" t="inlineStr">
        <is>
          <t>Gainesville Tech Park Piney Branch</t>
        </is>
      </c>
      <c r="C41" t="n">
        <v>2</v>
      </c>
      <c r="D41" t="inlineStr">
        <is>
          <t>Gainesville Tech Park</t>
        </is>
      </c>
      <c r="E41" t="inlineStr">
        <is>
          <t>REZ2020-00011</t>
        </is>
      </c>
      <c r="F41" t="inlineStr">
        <is>
          <t>REZ2020-00011</t>
        </is>
      </c>
      <c r="G41" t="inlineStr">
        <is>
          <t>Approved / Planned</t>
        </is>
      </c>
      <c r="H41" t="inlineStr">
        <is>
          <t>Planned</t>
        </is>
      </c>
      <c r="J41" t="inlineStr">
        <is>
          <t>Approved</t>
        </is>
      </c>
      <c r="K41" t="inlineStr">
        <is>
          <t>Rule 3: campus ProjectStatus Planned</t>
        </is>
      </c>
      <c r="L41" t="n">
        <v>52.69</v>
      </c>
      <c r="M41" t="n">
        <v>343402</v>
      </c>
      <c r="N41" t="n">
        <v>343402</v>
      </c>
      <c r="O41" t="n">
        <v>2</v>
      </c>
      <c r="P41" t="inlineStr">
        <is>
          <t>Planned: 2</t>
        </is>
      </c>
      <c r="Q41" t="n">
        <v>991418</v>
      </c>
      <c r="R41" t="inlineStr">
        <is>
          <t>Brentsville</t>
        </is>
      </c>
      <c r="S41" t="inlineStr">
        <is>
          <t>Yes</t>
        </is>
      </c>
      <c r="T41" t="inlineStr">
        <is>
          <t>M-2</t>
        </is>
      </c>
      <c r="U41" t="inlineStr">
        <is>
          <t>7496-68-8838</t>
        </is>
      </c>
      <c r="V41" t="inlineStr">
        <is>
          <t>8101 PINEY BRANCH LN; 8121 PINEY BRANCH LN</t>
        </is>
      </c>
      <c r="W41" t="inlineStr">
        <is>
          <t>Piney Branch 1 (Planned); Piney Branch 2 (Planned)</t>
        </is>
      </c>
      <c r="AA41" t="inlineStr">
        <is>
          <t>REZ2020-00011 [Rezoning - Non-Residential; Approved; case number]</t>
        </is>
      </c>
      <c r="AC41" t="inlineStr">
        <is>
          <t>01fffe17-1fdc-46e3-bd5c-f5795320e7e6</t>
        </is>
      </c>
      <c r="AD41" t="inlineStr">
        <is>
          <t>Build_Out_Analysis/10 (campuses); Build_Out_Analysis/9 (buildings); ePortal</t>
        </is>
      </c>
      <c r="AE41" t="inlineStr">
        <is>
          <t>https://gisweb.pwcva.gov/arcgis/rest/services/Planning/Build_Out_Analysis/MapServer/10/43?f=html | https://gisweb.pwcva.gov/arcgis/rest/services/Planning/Build_Out_Analysis/MapServer/9/query?where=GPIN IS NOT NULL&amp;outFields=*&amp;f=html (buildings joined spatially) | https://egcss.pwcgov.org/SelfService#/home</t>
        </is>
      </c>
      <c r="AF41" t="inlineStr">
        <is>
          <t>2026-09-25</t>
        </is>
      </c>
    </row>
    <row r="42">
      <c r="A42" t="n">
        <v>41</v>
      </c>
      <c r="B42" t="inlineStr">
        <is>
          <t>Gainesville West</t>
        </is>
      </c>
      <c r="C42" t="n">
        <v>2</v>
      </c>
      <c r="D42" t="inlineStr">
        <is>
          <t>BOCS-ARC</t>
        </is>
      </c>
      <c r="E42" t="inlineStr">
        <is>
          <t>REZ1958-0021</t>
        </is>
      </c>
      <c r="F42" t="inlineStr">
        <is>
          <t>REZ1958-0021; SUP2023-00005</t>
        </is>
      </c>
      <c r="G42" t="inlineStr">
        <is>
          <t>Approved / Planned</t>
        </is>
      </c>
      <c r="H42" t="inlineStr">
        <is>
          <t>Planned</t>
        </is>
      </c>
      <c r="K42" t="inlineStr">
        <is>
          <t>Rule 3: campus ProjectStatus Planned</t>
        </is>
      </c>
      <c r="L42" t="n">
        <v>58.3</v>
      </c>
      <c r="M42" t="n">
        <v>694020</v>
      </c>
      <c r="N42" t="n">
        <v>694020</v>
      </c>
      <c r="O42" t="n">
        <v>2</v>
      </c>
      <c r="P42" t="inlineStr">
        <is>
          <t>Planned: 2</t>
        </is>
      </c>
      <c r="Q42" t="n">
        <v>438895</v>
      </c>
      <c r="R42" t="inlineStr">
        <is>
          <t>Brentsville</t>
        </is>
      </c>
      <c r="S42" t="inlineStr">
        <is>
          <t>Yes</t>
        </is>
      </c>
      <c r="T42" t="inlineStr">
        <is>
          <t>M-1</t>
        </is>
      </c>
      <c r="U42" t="inlineStr">
        <is>
          <t>7497-32-5305</t>
        </is>
      </c>
      <c r="V42" t="inlineStr">
        <is>
          <t>13225 SKYLARK VIEW WAY; 13235 SKYLARK VIEW WAY</t>
        </is>
      </c>
      <c r="W42" t="inlineStr">
        <is>
          <t>Amazon AWS IAD A (Planned); Amazon AWS IAD B (Planned)</t>
        </is>
      </c>
      <c r="X42" t="inlineStr">
        <is>
          <t>BLD2026-05277 (Pending); BLD2027-01391 (Planned)</t>
        </is>
      </c>
      <c r="AA42" t="inlineStr">
        <is>
          <t>SUP2023-00005 [Special Use - Modification to Development Standards; Withdrawn; name exact]</t>
        </is>
      </c>
      <c r="AC42" t="inlineStr">
        <is>
          <t>7b3b0a5f-c395-47c0-99c0-eb53f411acb3</t>
        </is>
      </c>
      <c r="AD42" t="inlineStr">
        <is>
          <t>Build_Out_Analysis/10 (campuses); Build_Out_Analysis/9 (buildings); ePortal</t>
        </is>
      </c>
      <c r="AE42" t="inlineStr">
        <is>
          <t>https://gisweb.pwcva.gov/arcgis/rest/services/Planning/Build_Out_Analysis/MapServer/10/81?f=html | https://gisweb.pwcva.gov/arcgis/rest/services/Planning/Build_Out_Analysis/MapServer/9/query?where=GPIN IS NOT NULL&amp;outFields=*&amp;f=html (buildings joined spatially) | https://egcss.pwcgov.org/SelfService#/home</t>
        </is>
      </c>
      <c r="AF42" t="inlineStr">
        <is>
          <t>2026-09-25</t>
        </is>
      </c>
    </row>
    <row r="43">
      <c r="A43" t="n">
        <v>42</v>
      </c>
      <c r="B43" t="inlineStr">
        <is>
          <t>Hansen Farm North</t>
        </is>
      </c>
      <c r="C43" t="n">
        <v>1</v>
      </c>
      <c r="D43" t="inlineStr">
        <is>
          <t>LACY</t>
        </is>
      </c>
      <c r="E43" t="inlineStr">
        <is>
          <t>REZ1958-0034</t>
        </is>
      </c>
      <c r="F43" t="inlineStr">
        <is>
          <t>REZ1958-0034</t>
        </is>
      </c>
      <c r="G43" t="inlineStr">
        <is>
          <t>Approved / Planned</t>
        </is>
      </c>
      <c r="H43" t="inlineStr">
        <is>
          <t>Planned</t>
        </is>
      </c>
      <c r="K43" t="inlineStr">
        <is>
          <t>Rule 3: campus ProjectStatus Planned</t>
        </is>
      </c>
      <c r="L43" t="n">
        <v>12.16</v>
      </c>
      <c r="M43" t="n">
        <v>311000</v>
      </c>
      <c r="N43" t="n">
        <v>311000</v>
      </c>
      <c r="O43" t="n">
        <v>1</v>
      </c>
      <c r="P43" t="inlineStr">
        <is>
          <t>Planned: 1</t>
        </is>
      </c>
      <c r="Q43" t="n">
        <v>224900</v>
      </c>
      <c r="R43" t="inlineStr">
        <is>
          <t>Brentsville</t>
        </is>
      </c>
      <c r="S43" t="inlineStr">
        <is>
          <t>Yes</t>
        </is>
      </c>
      <c r="T43" t="inlineStr">
        <is>
          <t>M-1</t>
        </is>
      </c>
      <c r="U43" t="inlineStr">
        <is>
          <t>7597-11-2534</t>
        </is>
      </c>
      <c r="V43" t="inlineStr">
        <is>
          <t>7751 WELLINGFORD DR</t>
        </is>
      </c>
      <c r="W43" t="inlineStr">
        <is>
          <t>Hansen Farm North (Planned)</t>
        </is>
      </c>
      <c r="AA43" t="inlineStr">
        <is>
          <t>SPR2026-00153 [Site Plan - Final; Pending; GPIN (building parcel)]</t>
        </is>
      </c>
      <c r="AB43" t="inlineStr">
        <is>
          <t>SPR2026-00153 (Pending)</t>
        </is>
      </c>
      <c r="AC43" t="inlineStr">
        <is>
          <t>ce26192c-ef81-4bfe-87c3-346eed0658ae</t>
        </is>
      </c>
      <c r="AD43" t="inlineStr">
        <is>
          <t>Build_Out_Analysis/10 (campuses); Build_Out_Analysis/9 (buildings); ePortal</t>
        </is>
      </c>
      <c r="AE43" t="inlineStr">
        <is>
          <t>https://gisweb.pwcva.gov/arcgis/rest/services/Planning/Build_Out_Analysis/MapServer/10/65?f=html | https://gisweb.pwcva.gov/arcgis/rest/services/Planning/Build_Out_Analysis/MapServer/9/query?where=GPIN IS NOT NULL&amp;outFields=*&amp;f=html (buildings joined spatially) | https://egcss.pwcgov.org/SelfService#/home</t>
        </is>
      </c>
      <c r="AF43" t="inlineStr">
        <is>
          <t>2026-09-25</t>
        </is>
      </c>
    </row>
    <row r="44">
      <c r="A44" t="n">
        <v>43</v>
      </c>
      <c r="B44" t="inlineStr">
        <is>
          <t>Hansen Farm South</t>
        </is>
      </c>
      <c r="C44" t="n">
        <v>1</v>
      </c>
      <c r="D44" t="inlineStr">
        <is>
          <t>CANNON</t>
        </is>
      </c>
      <c r="E44" t="inlineStr">
        <is>
          <t>REZ1990-0076</t>
        </is>
      </c>
      <c r="F44" t="inlineStr">
        <is>
          <t>REZ1990-0076</t>
        </is>
      </c>
      <c r="G44" t="inlineStr">
        <is>
          <t>Approved / Planned</t>
        </is>
      </c>
      <c r="H44" t="inlineStr">
        <is>
          <t>Planned</t>
        </is>
      </c>
      <c r="K44" t="inlineStr">
        <is>
          <t>Rule 3: campus ProjectStatus Planned</t>
        </is>
      </c>
      <c r="L44" t="n">
        <v>33.36</v>
      </c>
      <c r="M44" t="n">
        <v>228140</v>
      </c>
      <c r="N44" t="n">
        <v>228140</v>
      </c>
      <c r="O44" t="n">
        <v>1</v>
      </c>
      <c r="P44" t="inlineStr">
        <is>
          <t>Planned: 1</t>
        </is>
      </c>
      <c r="Q44" t="n">
        <v>228140</v>
      </c>
      <c r="R44" t="inlineStr">
        <is>
          <t>Brentsville</t>
        </is>
      </c>
      <c r="S44" t="inlineStr">
        <is>
          <t>Yes</t>
        </is>
      </c>
      <c r="T44" t="inlineStr">
        <is>
          <t>M-1</t>
        </is>
      </c>
      <c r="U44" t="inlineStr">
        <is>
          <t>7497-80-5986</t>
        </is>
      </c>
      <c r="V44" t="inlineStr">
        <is>
          <t>7800 PINEY BRANCH LN BRISTOW, VA 20136</t>
        </is>
      </c>
      <c r="W44" t="inlineStr">
        <is>
          <t>Hansen Farm South (Planned)</t>
        </is>
      </c>
      <c r="AA44" t="inlineStr">
        <is>
          <t>SPR2026-00161 [Site Plan - Final; Pending; GPIN (building parcel)]</t>
        </is>
      </c>
      <c r="AB44" t="inlineStr">
        <is>
          <t>SPR2026-00161 (Pending)</t>
        </is>
      </c>
      <c r="AC44" t="inlineStr">
        <is>
          <t>7ae84689-4196-4d5c-b2f2-2be2a4cac4ff</t>
        </is>
      </c>
      <c r="AD44" t="inlineStr">
        <is>
          <t>Build_Out_Analysis/10 (campuses); Build_Out_Analysis/9 (buildings); ePortal</t>
        </is>
      </c>
      <c r="AE44" t="inlineStr">
        <is>
          <t>https://gisweb.pwcva.gov/arcgis/rest/services/Planning/Build_Out_Analysis/MapServer/10/68?f=html | https://gisweb.pwcva.gov/arcgis/rest/services/Planning/Build_Out_Analysis/MapServer/9/query?where=GPIN IS NOT NULL&amp;outFields=*&amp;f=html (buildings joined spatially) | https://egcss.pwcgov.org/SelfService#/home</t>
        </is>
      </c>
      <c r="AF44" t="inlineStr">
        <is>
          <t>2026-09-25</t>
        </is>
      </c>
    </row>
    <row r="45">
      <c r="A45" t="n">
        <v>44</v>
      </c>
      <c r="B45" t="inlineStr">
        <is>
          <t>Hornbaker Road</t>
        </is>
      </c>
      <c r="C45" t="n">
        <v>1</v>
      </c>
      <c r="D45" t="inlineStr">
        <is>
          <t>Hornbaker Road</t>
        </is>
      </c>
      <c r="E45" t="inlineStr">
        <is>
          <t>REZ2025-00014</t>
        </is>
      </c>
      <c r="F45" t="inlineStr">
        <is>
          <t>REZ2025-00014; SUP2025-00016; REZ2019-00032</t>
        </is>
      </c>
      <c r="G45" t="inlineStr">
        <is>
          <t>Approved / Planned</t>
        </is>
      </c>
      <c r="H45" t="inlineStr">
        <is>
          <t>Planned</t>
        </is>
      </c>
      <c r="J45" t="inlineStr">
        <is>
          <t>Approved</t>
        </is>
      </c>
      <c r="K45" t="inlineStr">
        <is>
          <t>Rule 3: campus ProjectStatus Planned</t>
        </is>
      </c>
      <c r="L45" t="n">
        <v>20.85</v>
      </c>
      <c r="M45" t="n">
        <v>435760</v>
      </c>
      <c r="N45" t="n">
        <v>435760</v>
      </c>
      <c r="O45" t="n">
        <v>1</v>
      </c>
      <c r="P45" t="inlineStr">
        <is>
          <t>Planned: 1</t>
        </is>
      </c>
      <c r="Q45" t="n">
        <v>435760</v>
      </c>
      <c r="R45" t="inlineStr">
        <is>
          <t>Brentsville</t>
        </is>
      </c>
      <c r="S45" t="inlineStr">
        <is>
          <t>No</t>
        </is>
      </c>
      <c r="T45" t="inlineStr">
        <is>
          <t>M-2</t>
        </is>
      </c>
      <c r="U45" t="inlineStr">
        <is>
          <t>7596-81-5396</t>
        </is>
      </c>
      <c r="V45" t="inlineStr">
        <is>
          <t>9001 HORNBAKER RD</t>
        </is>
      </c>
      <c r="W45" t="inlineStr">
        <is>
          <t>Hornbaker Road 2 (Planned)</t>
        </is>
      </c>
      <c r="Z45" t="inlineStr">
        <is>
          <t>SUP2025-00016 [SUP; ACTIVE; approved 2026-03-02]</t>
        </is>
      </c>
      <c r="AA45" t="inlineStr">
        <is>
          <t>REZ2019-00032 [Rezoning - Proffer Amendment; Approved; name exact]; REZ2025-00014 [Rezoning - Non-Residential; Approved; case number]; SUP2025-00016 [Special Use Permit - New Application; Approved; case number REZ2025-00014 referenced in description]</t>
        </is>
      </c>
      <c r="AC45" t="inlineStr">
        <is>
          <t>a0b0e2d0-2ccb-47b1-ab3f-3275db071d01</t>
        </is>
      </c>
      <c r="AD45" t="inlineStr">
        <is>
          <t>Build_Out_Analysis/10 (campuses); Build_Out_Analysis/9 (buildings); Planning/Zoning/6 (use permits); ePortal</t>
        </is>
      </c>
      <c r="AE45" t="inlineStr">
        <is>
          <t>https://gisweb.pwcva.gov/arcgis/rest/services/Planning/Build_Out_Analysis/MapServer/10/48?f=html | https://gisweb.pwcva.gov/arcgis/rest/services/Planning/Build_Out_Analysis/MapServer/9/query?where=GPIN IS NOT NULL&amp;outFields=*&amp;f=html (buildings joined spatially) | https://egcss.pwcgov.org/SelfService#/home</t>
        </is>
      </c>
      <c r="AF45" t="inlineStr">
        <is>
          <t>2026-09-25</t>
        </is>
      </c>
    </row>
    <row r="46">
      <c r="A46" t="n">
        <v>45</v>
      </c>
      <c r="B46" t="inlineStr">
        <is>
          <t>Innovation on the Parkway</t>
        </is>
      </c>
      <c r="C46" t="n">
        <v>1</v>
      </c>
      <c r="D46" t="inlineStr">
        <is>
          <t>Innovation on the Parkway PRA</t>
        </is>
      </c>
      <c r="E46" t="inlineStr">
        <is>
          <t>REZ2023-00001</t>
        </is>
      </c>
      <c r="F46" t="inlineStr">
        <is>
          <t>REZ2023-00001</t>
        </is>
      </c>
      <c r="G46" t="inlineStr">
        <is>
          <t>Approved / Planned</t>
        </is>
      </c>
      <c r="H46" t="inlineStr">
        <is>
          <t>Planned</t>
        </is>
      </c>
      <c r="J46" t="inlineStr">
        <is>
          <t>Approved</t>
        </is>
      </c>
      <c r="K46" t="inlineStr">
        <is>
          <t>Rule 3: campus ProjectStatus Planned</t>
        </is>
      </c>
      <c r="L46" t="n">
        <v>17.73</v>
      </c>
      <c r="M46" t="n">
        <v>576952</v>
      </c>
      <c r="N46" t="n">
        <v>576952</v>
      </c>
      <c r="O46" t="n">
        <v>1</v>
      </c>
      <c r="P46" t="inlineStr">
        <is>
          <t>Planned: 1</t>
        </is>
      </c>
      <c r="Q46" t="n">
        <v>576952</v>
      </c>
      <c r="R46" t="inlineStr">
        <is>
          <t>Brentsville</t>
        </is>
      </c>
      <c r="S46" t="inlineStr">
        <is>
          <t>Yes</t>
        </is>
      </c>
      <c r="T46" t="inlineStr">
        <is>
          <t>PBD</t>
        </is>
      </c>
      <c r="U46" t="inlineStr">
        <is>
          <t>7695-09-7902</t>
        </is>
      </c>
      <c r="V46" t="inlineStr">
        <is>
          <t>11101 UNIVERSITY BLVD</t>
        </is>
      </c>
      <c r="W46" t="inlineStr">
        <is>
          <t>Innovation on the Parkway (Planned)</t>
        </is>
      </c>
      <c r="AA46" t="inlineStr">
        <is>
          <t>REZ2023-00001 [Rezoning - Proffer Amendment; Approved; case number]; SPR2025-00339 [Site Plan - Final; Pending; GPIN (building parcel)]</t>
        </is>
      </c>
      <c r="AB46" t="inlineStr">
        <is>
          <t>SPR2025-00339 (Pending)</t>
        </is>
      </c>
      <c r="AC46" t="inlineStr">
        <is>
          <t>005eaa9c-a822-4dad-b14e-35d804a4f532</t>
        </is>
      </c>
      <c r="AD46" t="inlineStr">
        <is>
          <t>Build_Out_Analysis/10 (campuses); Build_Out_Analysis/9 (buildings); ePortal</t>
        </is>
      </c>
      <c r="AE46" t="inlineStr">
        <is>
          <t>https://gisweb.pwcva.gov/arcgis/rest/services/Planning/Build_Out_Analysis/MapServer/10/25?f=html | https://gisweb.pwcva.gov/arcgis/rest/services/Planning/Build_Out_Analysis/MapServer/9/query?where=GPIN IS NOT NULL&amp;outFields=*&amp;f=html (buildings joined spatially) | https://egcss.pwcgov.org/SelfService#/home</t>
        </is>
      </c>
      <c r="AF46" t="inlineStr">
        <is>
          <t>2026-09-25</t>
        </is>
      </c>
    </row>
    <row r="47">
      <c r="A47" t="n">
        <v>46</v>
      </c>
      <c r="B47" t="inlineStr">
        <is>
          <t>Iron Mountain</t>
        </is>
      </c>
      <c r="C47" t="n">
        <v>9</v>
      </c>
      <c r="D47" t="inlineStr">
        <is>
          <t>KH Data Capital Development</t>
        </is>
      </c>
      <c r="E47" t="inlineStr">
        <is>
          <t>REZ2021-00022</t>
        </is>
      </c>
      <c r="F47" t="inlineStr">
        <is>
          <t>REZ2021-00022; REZ2024-00041</t>
        </is>
      </c>
      <c r="G47" t="inlineStr">
        <is>
          <t>Approved / Planned</t>
        </is>
      </c>
      <c r="H47" t="inlineStr">
        <is>
          <t>Planned</t>
        </is>
      </c>
      <c r="J47" t="inlineStr">
        <is>
          <t>Approved</t>
        </is>
      </c>
      <c r="K47" t="inlineStr">
        <is>
          <t>Rule 3: campus ProjectStatus Planned</t>
        </is>
      </c>
      <c r="L47" t="n">
        <v>145.2</v>
      </c>
      <c r="M47" t="n">
        <v>1953604</v>
      </c>
      <c r="N47" t="n">
        <v>342028</v>
      </c>
      <c r="O47" t="n">
        <v>9</v>
      </c>
      <c r="P47" t="inlineStr">
        <is>
          <t>Completed: 8; Planned: 1</t>
        </is>
      </c>
      <c r="Q47" t="n">
        <v>2179578</v>
      </c>
      <c r="R47" t="inlineStr">
        <is>
          <t>Brentsville</t>
        </is>
      </c>
      <c r="S47" t="inlineStr">
        <is>
          <t>Yes</t>
        </is>
      </c>
      <c r="T47" t="inlineStr">
        <is>
          <t>M-2 PBD</t>
        </is>
      </c>
      <c r="U47" t="inlineStr">
        <is>
          <t>7596-47-5780; 7596-55-9338; 7596-56-1578; 7596-57-4735; 7596-64-6285; 7596-64-9220; 7596-66-0725; 7596-66-8266</t>
        </is>
      </c>
      <c r="V47" t="inlineStr">
        <is>
          <t>11451 ELEVATE DR; 11530 ELEVATE DR 100; 11580 HAYDEN RD; 11600 HAYDEN RD; 11640 HAYDEN RD; 11660 HAYDEN RD; 11680 HAYDEN RD; 7745 WELLINGTON RD; 8330 BETHLEHEM RD</t>
        </is>
      </c>
      <c r="W47" t="inlineStr">
        <is>
          <t>Iron Mountain Data Center VA-1 (Completed); Iron Mountain Data Center VA-10 (Completed); Iron Mountain Data Center VA-2 (Completed); Iron Mountain Data Center VA-3 (Completed); Iron Mountain Data Center VA-4 (Completed); Iron Mountain Data Center VA-5 (Completed); Iron Mountain Data Center VA-6 (Completed); Iron Mountain Data Center VA-7 (Completed); Iron Mountain Data Center VA-8/9 (Planned)</t>
        </is>
      </c>
      <c r="X47" t="inlineStr">
        <is>
          <t>&lt;Null&gt; (Planned); BLD2017-00581 (Finaled); BLD2018-04430 (Finaled); BLD2023-00509 (Finaled); BLD2023-03506 (Finaled); BLD2023-03508 (Finaled); BLD2023-05363 (Finaled); BLD2024-02696 (Finaled); BLD2024-02971 (Finaled)</t>
        </is>
      </c>
      <c r="AA47" t="inlineStr">
        <is>
          <t>REZ2021-00022 [Rezoning - Non-Residential; Approved; case number]; REZ2024-00041 [Rezoning - Mixed Use; Approved; case number]</t>
        </is>
      </c>
      <c r="AC47" t="inlineStr">
        <is>
          <t>354103e8-94d2-4b21-951f-d2daa367973a</t>
        </is>
      </c>
      <c r="AD47" t="inlineStr">
        <is>
          <t>Build_Out_Analysis/10 (campuses); Build_Out_Analysis/9 (buildings); ePortal</t>
        </is>
      </c>
      <c r="AE47" t="inlineStr">
        <is>
          <t>https://gisweb.pwcva.gov/arcgis/rest/services/Planning/Build_Out_Analysis/MapServer/10/15?f=html | https://gisweb.pwcva.gov/arcgis/rest/services/Planning/Build_Out_Analysis/MapServer/9/query?where=GPIN IS NOT NULL&amp;outFields=*&amp;f=html (buildings joined spatially) | https://egcss.pwcgov.org/SelfService#/home</t>
        </is>
      </c>
      <c r="AF47" t="inlineStr">
        <is>
          <t>2026-09-25</t>
        </is>
      </c>
      <c r="AG47" t="inlineStr">
        <is>
          <t>8 building(s) already Completed on this campus</t>
        </is>
      </c>
    </row>
    <row r="48">
      <c r="A48" t="n">
        <v>47</v>
      </c>
      <c r="B48" t="inlineStr">
        <is>
          <t>Iron Mountain Manassas Point</t>
        </is>
      </c>
      <c r="C48" t="n">
        <v>3</v>
      </c>
      <c r="D48" t="inlineStr">
        <is>
          <t>Manassas Point PRA</t>
        </is>
      </c>
      <c r="E48" t="inlineStr">
        <is>
          <t>REZ2024-00001</t>
        </is>
      </c>
      <c r="F48" t="inlineStr">
        <is>
          <t>REZ2024-00001</t>
        </is>
      </c>
      <c r="G48" t="inlineStr">
        <is>
          <t>Approved / Planned</t>
        </is>
      </c>
      <c r="H48" t="inlineStr">
        <is>
          <t>Planned</t>
        </is>
      </c>
      <c r="J48" t="inlineStr">
        <is>
          <t>Approved</t>
        </is>
      </c>
      <c r="K48" t="inlineStr">
        <is>
          <t>Rule 3: campus ProjectStatus Planned</t>
        </is>
      </c>
      <c r="L48" t="n">
        <v>39.92</v>
      </c>
      <c r="M48" t="n">
        <v>5818876</v>
      </c>
      <c r="N48" t="n">
        <v>1062501</v>
      </c>
      <c r="O48" t="n">
        <v>3</v>
      </c>
      <c r="P48" t="inlineStr">
        <is>
          <t>Planned: 3</t>
        </is>
      </c>
      <c r="Q48" t="n">
        <v>1740105</v>
      </c>
      <c r="R48" t="inlineStr">
        <is>
          <t>Gainesville</t>
        </is>
      </c>
      <c r="S48" t="inlineStr">
        <is>
          <t>Yes</t>
        </is>
      </c>
      <c r="T48" t="inlineStr">
        <is>
          <t>M-1</t>
        </is>
      </c>
      <c r="U48" t="inlineStr">
        <is>
          <t>7596-79-3589; 7596-89-0058</t>
        </is>
      </c>
      <c r="V48" t="inlineStr">
        <is>
          <t>11441 CONNECTIVITY DR; 11451 CONNECTIVITY DR; 11461 CONNECTIVITY DR</t>
        </is>
      </c>
      <c r="W48" t="inlineStr">
        <is>
          <t>Iron Mountain Manassas Point DC1 (Planned); Iron Mountain Manassas Point DC2 (Planned); Iron Mountain Manassas Point DC3 (Planned)</t>
        </is>
      </c>
      <c r="AA48" t="inlineStr">
        <is>
          <t>REZ2024-00001 [Rezoning - Proffer Amendment; Approved; case number]</t>
        </is>
      </c>
      <c r="AC48" t="inlineStr">
        <is>
          <t>112446d3-3458-4c10-9081-42d87805d421</t>
        </is>
      </c>
      <c r="AD48" t="inlineStr">
        <is>
          <t>Build_Out_Analysis/10 (campuses); Build_Out_Analysis/9 (buildings); ePortal</t>
        </is>
      </c>
      <c r="AE48" t="inlineStr">
        <is>
          <t>https://gisweb.pwcva.gov/arcgis/rest/services/Planning/Build_Out_Analysis/MapServer/10/41?f=html | https://gisweb.pwcva.gov/arcgis/rest/services/Planning/Build_Out_Analysis/MapServer/9/query?where=GPIN IS NOT NULL&amp;outFields=*&amp;f=html (buildings joined spatially) | https://egcss.pwcgov.org/SelfService#/home</t>
        </is>
      </c>
      <c r="AF48" t="inlineStr">
        <is>
          <t>2026-09-25</t>
        </is>
      </c>
    </row>
    <row r="49">
      <c r="A49" t="n">
        <v>48</v>
      </c>
      <c r="B49" t="inlineStr">
        <is>
          <t>Manassas Data Center</t>
        </is>
      </c>
      <c r="C49" t="n">
        <v>1</v>
      </c>
      <c r="D49" t="inlineStr">
        <is>
          <t>STONECREST</t>
        </is>
      </c>
      <c r="E49" t="inlineStr">
        <is>
          <t>REZ1989-0038</t>
        </is>
      </c>
      <c r="F49" t="inlineStr">
        <is>
          <t>REZ1989-0038; CPA2026-00016; SUP2023-00034</t>
        </is>
      </c>
      <c r="G49" t="inlineStr">
        <is>
          <t>Approved / Planned</t>
        </is>
      </c>
      <c r="H49" t="inlineStr">
        <is>
          <t>Planned</t>
        </is>
      </c>
      <c r="I49" t="inlineStr">
        <is>
          <t>Pending</t>
        </is>
      </c>
      <c r="K49" t="inlineStr">
        <is>
          <t>Rule 3: campus ProjectStatus Planned</t>
        </is>
      </c>
      <c r="L49" t="n">
        <v>30.48</v>
      </c>
      <c r="M49" t="n">
        <v>460740</v>
      </c>
      <c r="N49" t="n">
        <v>460740</v>
      </c>
      <c r="O49" t="n">
        <v>1</v>
      </c>
      <c r="P49" t="inlineStr">
        <is>
          <t>Planned: 1</t>
        </is>
      </c>
      <c r="Q49" t="n">
        <v>460740</v>
      </c>
      <c r="R49" t="inlineStr">
        <is>
          <t>Brentsville</t>
        </is>
      </c>
      <c r="S49" t="inlineStr">
        <is>
          <t>Yes</t>
        </is>
      </c>
      <c r="T49" t="inlineStr">
        <is>
          <t>M-2</t>
        </is>
      </c>
      <c r="U49" t="inlineStr">
        <is>
          <t>7497-03-2210</t>
        </is>
      </c>
      <c r="V49" t="inlineStr">
        <is>
          <t>3555 WELLINGTON CENTER CIR</t>
        </is>
      </c>
      <c r="W49" t="inlineStr">
        <is>
          <t>Manassas Data Center (Planned)</t>
        </is>
      </c>
      <c r="Y49" t="inlineStr">
        <is>
          <t>CPA2026-00016 [CPA; Pending; name prefix (unique) (companion case, not keyword)]; SUP2023-00034 [SUP; Pending; name prefix (unique) (companion case, not keyword)]</t>
        </is>
      </c>
      <c r="AA49" t="inlineStr">
        <is>
          <t>PLT2016-00058 [Plat Subdivision; Approved; name prefix (unique)]; SPR2021-00004 [Site Plan - Administrative Review; Approved; name prefix (unique)]; SPR2024-00026 [Site Plan - Final; Approved; name prefix (unique)]; SPR2026-00022 [Site Plan - Grading/Preconstruction Plan; Approved; name prefix (unique)]; SPR2026-00221 [Site Plan - Final; Pending; GPIN (building parcel)]; SPR2027-00022 [Site Plan - Revision; Pending; name prefix (unique)]</t>
        </is>
      </c>
      <c r="AB49" t="inlineStr">
        <is>
          <t>SPR2026-00221 (Pending); SPR2027-00022 (Pending)</t>
        </is>
      </c>
      <c r="AC49" t="inlineStr">
        <is>
          <t>d4cb066c-32c2-427f-8d02-42b4565dc4c0</t>
        </is>
      </c>
      <c r="AD49" t="inlineStr">
        <is>
          <t>Build_Out_Analysis/10 (campuses); Build_Out_Analysis/9 (buildings); CountyMapper/LandDevelopment/2 (pending cases); ePortal</t>
        </is>
      </c>
      <c r="AE49" t="inlineStr">
        <is>
          <t>https://gisweb.pwcva.gov/arcgis/rest/services/Planning/Build_Out_Analysis/MapServer/10/72?f=html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49" t="inlineStr">
        <is>
          <t>2026-09-25</t>
        </is>
      </c>
    </row>
    <row r="50">
      <c r="A50" t="n">
        <v>49</v>
      </c>
      <c r="B50" t="inlineStr">
        <is>
          <t>Manassas Tech Center</t>
        </is>
      </c>
      <c r="C50" t="n">
        <v>0</v>
      </c>
      <c r="D50" t="inlineStr">
        <is>
          <t>Manassas Tech Center</t>
        </is>
      </c>
      <c r="E50" t="inlineStr">
        <is>
          <t>REZ2025-00032</t>
        </is>
      </c>
      <c r="F50" t="inlineStr">
        <is>
          <t>REZ2025-00032</t>
        </is>
      </c>
      <c r="G50" t="inlineStr">
        <is>
          <t>Approved / Planned</t>
        </is>
      </c>
      <c r="H50" t="inlineStr">
        <is>
          <t>Pending</t>
        </is>
      </c>
      <c r="J50" t="inlineStr">
        <is>
          <t>Approved</t>
        </is>
      </c>
      <c r="K50" t="inlineStr">
        <is>
          <t>Campus layer says Pending but ePortal case REZ2025-00032 is Approved (county data conflict)</t>
        </is>
      </c>
      <c r="L50" t="n">
        <v>5.99</v>
      </c>
      <c r="N50" t="n">
        <v>0</v>
      </c>
      <c r="R50" t="inlineStr">
        <is>
          <t>Brentsville</t>
        </is>
      </c>
      <c r="S50" t="inlineStr">
        <is>
          <t>Yes</t>
        </is>
      </c>
      <c r="T50" t="inlineStr">
        <is>
          <t>PBD PMD</t>
        </is>
      </c>
      <c r="AA50" t="inlineStr">
        <is>
          <t>REZ2025-00032 [Rezoning - Mixed Use; Approved; case number]</t>
        </is>
      </c>
      <c r="AC50" t="inlineStr">
        <is>
          <t>9e428798-9025-467d-99e6-391841e4b94e</t>
        </is>
      </c>
      <c r="AD50" t="inlineStr">
        <is>
          <t>Build_Out_Analysis/10 (campuses); ePortal</t>
        </is>
      </c>
      <c r="AE50" t="inlineStr">
        <is>
          <t>https://gisweb.pwcva.gov/arcgis/rest/services/Planning/Build_Out_Analysis/MapServer/10/116?f=html | https://egcss.pwcgov.org/SelfService#/home</t>
        </is>
      </c>
      <c r="AF50" t="inlineStr">
        <is>
          <t>2026-09-25</t>
        </is>
      </c>
    </row>
    <row r="51">
      <c r="A51" t="n">
        <v>50</v>
      </c>
      <c r="B51" t="inlineStr">
        <is>
          <t>Manassas Tech Park II South</t>
        </is>
      </c>
      <c r="C51" t="n">
        <v>1</v>
      </c>
      <c r="D51" t="inlineStr">
        <is>
          <t>DWOSKIN</t>
        </is>
      </c>
      <c r="E51" t="inlineStr">
        <is>
          <t>REZ1985-0048</t>
        </is>
      </c>
      <c r="F51" t="inlineStr">
        <is>
          <t>REZ1985-0048</t>
        </is>
      </c>
      <c r="G51" t="inlineStr">
        <is>
          <t>Approved / Planned</t>
        </is>
      </c>
      <c r="H51" t="inlineStr">
        <is>
          <t>Planned</t>
        </is>
      </c>
      <c r="K51" t="inlineStr">
        <is>
          <t>Rule 3: campus ProjectStatus Planned</t>
        </is>
      </c>
      <c r="L51" t="n">
        <v>30</v>
      </c>
      <c r="M51" t="n">
        <v>198500</v>
      </c>
      <c r="N51" t="n">
        <v>198500</v>
      </c>
      <c r="O51" t="n">
        <v>1</v>
      </c>
      <c r="P51" t="inlineStr">
        <is>
          <t>Planned: 1</t>
        </is>
      </c>
      <c r="Q51" t="n">
        <v>198500</v>
      </c>
      <c r="R51" t="inlineStr">
        <is>
          <t>Brentsville</t>
        </is>
      </c>
      <c r="S51" t="inlineStr">
        <is>
          <t>Yes</t>
        </is>
      </c>
      <c r="T51" t="inlineStr">
        <is>
          <t>M/T M-2</t>
        </is>
      </c>
      <c r="U51" t="inlineStr">
        <is>
          <t>7595-59-2712</t>
        </is>
      </c>
      <c r="V51" t="inlineStr">
        <is>
          <t>9320 INDUSTRIAL CT</t>
        </is>
      </c>
      <c r="W51" t="inlineStr">
        <is>
          <t>Manassas Tech Park II South (Planned)</t>
        </is>
      </c>
      <c r="AA51" t="inlineStr">
        <is>
          <t>SPR2026-00406 [Site Plan - Final; Awaiting Fees; GPIN (building parcel)]</t>
        </is>
      </c>
      <c r="AB51" t="inlineStr">
        <is>
          <t>SPR2026-00406 (Awaiting Fees)</t>
        </is>
      </c>
      <c r="AC51" t="inlineStr">
        <is>
          <t>590d32cd-30f2-4381-a845-2669247e45e0</t>
        </is>
      </c>
      <c r="AD51" t="inlineStr">
        <is>
          <t>Build_Out_Analysis/10 (campuses); Build_Out_Analysis/9 (buildings); ePortal</t>
        </is>
      </c>
      <c r="AE51" t="inlineStr">
        <is>
          <t>https://gisweb.pwcva.gov/arcgis/rest/services/Planning/Build_Out_Analysis/MapServer/10/135?f=html | https://gisweb.pwcva.gov/arcgis/rest/services/Planning/Build_Out_Analysis/MapServer/9/query?where=GPIN IS NOT NULL&amp;outFields=*&amp;f=html (buildings joined spatially) | https://egcss.pwcgov.org/SelfService#/home</t>
        </is>
      </c>
      <c r="AF51" t="inlineStr">
        <is>
          <t>2026-09-25</t>
        </is>
      </c>
    </row>
    <row r="52">
      <c r="A52" t="n">
        <v>51</v>
      </c>
      <c r="B52" t="inlineStr">
        <is>
          <t>Manassas Tech Park North</t>
        </is>
      </c>
      <c r="C52" t="n">
        <v>2</v>
      </c>
      <c r="D52" t="inlineStr">
        <is>
          <t>DWOSKIN</t>
        </is>
      </c>
      <c r="E52" t="inlineStr">
        <is>
          <t>REZ1985-0048</t>
        </is>
      </c>
      <c r="F52" t="inlineStr">
        <is>
          <t>REZ1985-0048</t>
        </is>
      </c>
      <c r="G52" t="inlineStr">
        <is>
          <t>Approved / Planned</t>
        </is>
      </c>
      <c r="H52" t="inlineStr">
        <is>
          <t>Planned</t>
        </is>
      </c>
      <c r="K52" t="inlineStr">
        <is>
          <t>Rule 3: campus ProjectStatus Planned</t>
        </is>
      </c>
      <c r="L52" t="n">
        <v>21.17</v>
      </c>
      <c r="M52" t="n">
        <v>340000</v>
      </c>
      <c r="N52" t="n">
        <v>340000</v>
      </c>
      <c r="O52" t="n">
        <v>2</v>
      </c>
      <c r="P52" t="inlineStr">
        <is>
          <t>Planned: 2</t>
        </is>
      </c>
      <c r="Q52" t="n">
        <v>340000</v>
      </c>
      <c r="R52" t="inlineStr">
        <is>
          <t>Brentsville</t>
        </is>
      </c>
      <c r="S52" t="inlineStr">
        <is>
          <t>Yes</t>
        </is>
      </c>
      <c r="T52" t="inlineStr">
        <is>
          <t>M/T</t>
        </is>
      </c>
      <c r="U52" t="inlineStr">
        <is>
          <t>7595-49-8655; 7596-50-2719</t>
        </is>
      </c>
      <c r="V52" t="inlineStr">
        <is>
          <t>9250 INDUSTRIAL CT; 9251 INDUSTRIAL CT</t>
        </is>
      </c>
      <c r="W52" t="inlineStr">
        <is>
          <t>Manassas Tech Park North 1 (Planned); Manassas Tech Park North 2 (Planned)</t>
        </is>
      </c>
      <c r="AA52" t="inlineStr">
        <is>
          <t>SPR2026-00196 [Site Plan - Final; Pending; GPIN (building parcel)]</t>
        </is>
      </c>
      <c r="AB52" t="inlineStr">
        <is>
          <t>SPR2026-00196 (Pending)</t>
        </is>
      </c>
      <c r="AC52" t="inlineStr">
        <is>
          <t>590d32cd-30f2-4381-a845-2669247e45e0</t>
        </is>
      </c>
      <c r="AD52" t="inlineStr">
        <is>
          <t>Build_Out_Analysis/10 (campuses); Build_Out_Analysis/9 (buildings); ePortal</t>
        </is>
      </c>
      <c r="AE52" t="inlineStr">
        <is>
          <t>https://gisweb.pwcva.gov/arcgis/rest/services/Planning/Build_Out_Analysis/MapServer/10/70?f=html | https://gisweb.pwcva.gov/arcgis/rest/services/Planning/Build_Out_Analysis/MapServer/9/query?where=GPIN IS NOT NULL&amp;outFields=*&amp;f=html (buildings joined spatially) | https://egcss.pwcgov.org/SelfService#/home</t>
        </is>
      </c>
      <c r="AF52" t="inlineStr">
        <is>
          <t>2026-09-25</t>
        </is>
      </c>
    </row>
    <row r="53">
      <c r="A53" t="n">
        <v>52</v>
      </c>
      <c r="B53" t="inlineStr">
        <is>
          <t>Merritt I-66 Business Park</t>
        </is>
      </c>
      <c r="C53" t="n">
        <v>4</v>
      </c>
      <c r="D53" t="inlineStr">
        <is>
          <t>LIBBY, LEONA &amp; HOWARD</t>
        </is>
      </c>
      <c r="E53" t="inlineStr">
        <is>
          <t>REZ1981-0015</t>
        </is>
      </c>
      <c r="F53" t="inlineStr">
        <is>
          <t>REZ1981-0015</t>
        </is>
      </c>
      <c r="G53" t="inlineStr">
        <is>
          <t>Approved / Planned</t>
        </is>
      </c>
      <c r="H53" t="inlineStr">
        <is>
          <t>Planned</t>
        </is>
      </c>
      <c r="K53" t="inlineStr">
        <is>
          <t>Rule 3: campus ProjectStatus Planned</t>
        </is>
      </c>
      <c r="L53" t="n">
        <v>49.32</v>
      </c>
      <c r="M53" t="n">
        <v>2144339</v>
      </c>
      <c r="N53" t="n">
        <v>2144339</v>
      </c>
      <c r="O53" t="n">
        <v>4</v>
      </c>
      <c r="P53" t="inlineStr">
        <is>
          <t>Planned: 4</t>
        </is>
      </c>
      <c r="Q53" t="n">
        <v>2144339</v>
      </c>
      <c r="R53" t="inlineStr">
        <is>
          <t>Gainesville</t>
        </is>
      </c>
      <c r="S53" t="inlineStr">
        <is>
          <t>Yes</t>
        </is>
      </c>
      <c r="T53" t="inlineStr">
        <is>
          <t>M-1</t>
        </is>
      </c>
      <c r="U53" t="inlineStr">
        <is>
          <t>7597-24-1765; 7597-24-7195; 7597-24-8417; 7597-25-1404</t>
        </is>
      </c>
      <c r="V53" t="inlineStr">
        <is>
          <t>7370 MERRITT PARK DR; 7375 MERRITT PARK DR; 7390 MERRITT PARK DR; 7425 MERRITT PARK DR</t>
        </is>
      </c>
      <c r="W53" t="inlineStr">
        <is>
          <t>Merritt I-66 Business Park A (Planned); Merritt I-66 Business Park B (Planned); Merritt I-66 Business Park C (Planned); Merritt I-66 Business Park D (Planned)</t>
        </is>
      </c>
      <c r="AA53" t="inlineStr">
        <is>
          <t>SPR2027-00028 [Site Plan - Final; Pending; GPIN (building parcel)]</t>
        </is>
      </c>
      <c r="AB53" t="inlineStr">
        <is>
          <t>SPR2027-00028 (Pending)</t>
        </is>
      </c>
      <c r="AC53" t="inlineStr">
        <is>
          <t>ba7d803c-ad67-4a97-9720-3ef3910c912b</t>
        </is>
      </c>
      <c r="AD53" t="inlineStr">
        <is>
          <t>Build_Out_Analysis/10 (campuses); Build_Out_Analysis/9 (buildings); ePortal</t>
        </is>
      </c>
      <c r="AE53" t="inlineStr">
        <is>
          <t>https://gisweb.pwcva.gov/arcgis/rest/services/Planning/Build_Out_Analysis/MapServer/10/137?f=html | https://gisweb.pwcva.gov/arcgis/rest/services/Planning/Build_Out_Analysis/MapServer/9/query?where=GPIN IS NOT NULL&amp;outFields=*&amp;f=html (buildings joined spatially) | https://egcss.pwcgov.org/SelfService#/home</t>
        </is>
      </c>
      <c r="AF53" t="inlineStr">
        <is>
          <t>2026-09-25</t>
        </is>
      </c>
    </row>
    <row r="54">
      <c r="A54" t="n">
        <v>53</v>
      </c>
      <c r="B54" t="inlineStr">
        <is>
          <t>Microsoft Azure Balls Ford Road</t>
        </is>
      </c>
      <c r="C54" t="n">
        <v>2</v>
      </c>
      <c r="D54" t="inlineStr">
        <is>
          <t>Westview 66</t>
        </is>
      </c>
      <c r="E54" t="inlineStr">
        <is>
          <t>REZ2019-00025</t>
        </is>
      </c>
      <c r="F54" t="inlineStr">
        <is>
          <t>REZ2019-00025</t>
        </is>
      </c>
      <c r="G54" t="inlineStr">
        <is>
          <t>Approved / Planned</t>
        </is>
      </c>
      <c r="H54" t="inlineStr">
        <is>
          <t>Planned</t>
        </is>
      </c>
      <c r="J54" t="inlineStr">
        <is>
          <t>Approved</t>
        </is>
      </c>
      <c r="K54" t="inlineStr">
        <is>
          <t>Rule 3: campus ProjectStatus Planned</t>
        </is>
      </c>
      <c r="L54" t="n">
        <v>40.55</v>
      </c>
      <c r="M54" t="n">
        <v>1145989</v>
      </c>
      <c r="N54" t="n">
        <v>1145989</v>
      </c>
      <c r="O54" t="n">
        <v>2</v>
      </c>
      <c r="P54" t="inlineStr">
        <is>
          <t>Planned: 2</t>
        </is>
      </c>
      <c r="Q54" t="n">
        <v>1132560</v>
      </c>
      <c r="R54" t="inlineStr">
        <is>
          <t>Gainesville</t>
        </is>
      </c>
      <c r="S54" t="inlineStr">
        <is>
          <t>Yes</t>
        </is>
      </c>
      <c r="T54" t="inlineStr">
        <is>
          <t>PBD</t>
        </is>
      </c>
      <c r="U54" t="inlineStr">
        <is>
          <t>7597-85-1215</t>
        </is>
      </c>
      <c r="V54" t="inlineStr">
        <is>
          <t>11320 BALLS FORD RD; 11324 BALLS FORD RD</t>
        </is>
      </c>
      <c r="W54" t="inlineStr">
        <is>
          <t>Microsoft Azure MNZ01 (Planned); Microsoft Azure MNZ02 (Planned)</t>
        </is>
      </c>
      <c r="X54" t="inlineStr">
        <is>
          <t>BLD2024-06291 (Pending)</t>
        </is>
      </c>
      <c r="AA54" t="inlineStr">
        <is>
          <t>REZ2019-00025 [Rezoning - Proffer Amendment; Approved; case number]</t>
        </is>
      </c>
      <c r="AC54" t="inlineStr">
        <is>
          <t>17be9cd0-9800-4877-8c96-5520b706db82</t>
        </is>
      </c>
      <c r="AD54" t="inlineStr">
        <is>
          <t>Build_Out_Analysis/10 (campuses); Build_Out_Analysis/9 (buildings); ePortal</t>
        </is>
      </c>
      <c r="AE54" t="inlineStr">
        <is>
          <t>https://gisweb.pwcva.gov/arcgis/rest/services/Planning/Build_Out_Analysis/MapServer/10/10?f=html | https://gisweb.pwcva.gov/arcgis/rest/services/Planning/Build_Out_Analysis/MapServer/9/query?where=GPIN IS NOT NULL&amp;outFields=*&amp;f=html (buildings joined spatially) | https://egcss.pwcgov.org/SelfService#/home</t>
        </is>
      </c>
      <c r="AF54" t="inlineStr">
        <is>
          <t>2026-09-25</t>
        </is>
      </c>
    </row>
    <row r="55">
      <c r="A55" t="n">
        <v>54</v>
      </c>
      <c r="B55" t="inlineStr">
        <is>
          <t>Patriot Business Center</t>
        </is>
      </c>
      <c r="C55" t="n">
        <v>4</v>
      </c>
      <c r="D55" t="inlineStr">
        <is>
          <t>Wheeler Smith Wood Solite</t>
        </is>
      </c>
      <c r="E55" t="inlineStr">
        <is>
          <t>REZ1969-0021</t>
        </is>
      </c>
      <c r="F55" t="inlineStr">
        <is>
          <t>REZ1969-0021</t>
        </is>
      </c>
      <c r="G55" t="inlineStr">
        <is>
          <t>Approved / Planned</t>
        </is>
      </c>
      <c r="H55" t="inlineStr">
        <is>
          <t>Planned</t>
        </is>
      </c>
      <c r="K55" t="inlineStr">
        <is>
          <t>Rule 3: campus ProjectStatus Planned</t>
        </is>
      </c>
      <c r="L55" t="n">
        <v>41.13</v>
      </c>
      <c r="M55" t="n">
        <v>903523</v>
      </c>
      <c r="N55" t="n">
        <v>534359</v>
      </c>
      <c r="O55" t="n">
        <v>4</v>
      </c>
      <c r="P55" t="inlineStr">
        <is>
          <t>Planned: 4</t>
        </is>
      </c>
      <c r="Q55" t="n">
        <v>903523</v>
      </c>
      <c r="R55" t="inlineStr">
        <is>
          <t>Gainesville</t>
        </is>
      </c>
      <c r="S55" t="inlineStr">
        <is>
          <t>Yes</t>
        </is>
      </c>
      <c r="T55" t="inlineStr">
        <is>
          <t>M-1</t>
        </is>
      </c>
      <c r="U55" t="inlineStr">
        <is>
          <t>7597-42-1395; 7597-42-1456; 7597-42-2107</t>
        </is>
      </c>
      <c r="V55" t="inlineStr">
        <is>
          <t>11800 BREWERS SPRING RD; 11801 BREWERS SPRING RD; 7600 DOANE DR; BREWERS SPRING RD</t>
        </is>
      </c>
      <c r="W55" t="inlineStr">
        <is>
          <t>Amazon AWS IAD-14 (Planned); Amazon AWS IAD-52 (Planned); Amazon AWS IAD-59 (Planned); Patriot Business Center (Planned)</t>
        </is>
      </c>
      <c r="AA55" t="inlineStr">
        <is>
          <t>SPR2015-20225 [Site Plan - Asbuilt Plan; Approved; name exact]; SPR2026-00255 [Site Plan - Early Grading Plan; Pending; GPIN (building parcel)]; SPR2026-00365 [Site Plan - Minor; Approved; GPIN (building parcel)]</t>
        </is>
      </c>
      <c r="AB55" t="inlineStr">
        <is>
          <t>SPR2026-00255 (Pending)</t>
        </is>
      </c>
      <c r="AC55" t="inlineStr">
        <is>
          <t>06882327-a3cd-4bd2-9646-9f72bd231847</t>
        </is>
      </c>
      <c r="AD55" t="inlineStr">
        <is>
          <t>Build_Out_Analysis/10 (campuses); Build_Out_Analysis/9 (buildings); ePortal</t>
        </is>
      </c>
      <c r="AE55" t="inlineStr">
        <is>
          <t>https://gisweb.pwcva.gov/arcgis/rest/services/Planning/Build_Out_Analysis/MapServer/10/40?f=html | https://gisweb.pwcva.gov/arcgis/rest/services/Planning/Build_Out_Analysis/MapServer/9/query?where=GPIN IS NOT NULL&amp;outFields=*&amp;f=html (buildings joined spatially) | https://egcss.pwcgov.org/SelfService#/home</t>
        </is>
      </c>
      <c r="AF55" t="inlineStr">
        <is>
          <t>2026-09-25</t>
        </is>
      </c>
    </row>
    <row r="56">
      <c r="A56" t="n">
        <v>55</v>
      </c>
      <c r="B56" t="inlineStr">
        <is>
          <t>Premier Business Park</t>
        </is>
      </c>
      <c r="C56" t="n">
        <v>1</v>
      </c>
      <c r="D56" t="inlineStr">
        <is>
          <t>WHEELER, SMITH, WOOD, SOLITE</t>
        </is>
      </c>
      <c r="E56" t="inlineStr">
        <is>
          <t>REZ1969-0021</t>
        </is>
      </c>
      <c r="F56" t="inlineStr">
        <is>
          <t>REZ1969-0021</t>
        </is>
      </c>
      <c r="G56" t="inlineStr">
        <is>
          <t>Approved / Planned</t>
        </is>
      </c>
      <c r="H56" t="inlineStr">
        <is>
          <t>Planned</t>
        </is>
      </c>
      <c r="K56" t="inlineStr">
        <is>
          <t>Rule 3: campus ProjectStatus Planned</t>
        </is>
      </c>
      <c r="L56" t="n">
        <v>29.74</v>
      </c>
      <c r="M56" t="n">
        <v>500000</v>
      </c>
      <c r="N56" t="n">
        <v>500000</v>
      </c>
      <c r="O56" t="n">
        <v>1</v>
      </c>
      <c r="P56" t="inlineStr">
        <is>
          <t>Planned: 1</t>
        </is>
      </c>
      <c r="Q56" t="n">
        <v>500000</v>
      </c>
      <c r="R56" t="inlineStr">
        <is>
          <t>Gainesville</t>
        </is>
      </c>
      <c r="S56" t="inlineStr">
        <is>
          <t>Yes</t>
        </is>
      </c>
      <c r="T56" t="inlineStr">
        <is>
          <t>M/T</t>
        </is>
      </c>
      <c r="U56" t="inlineStr">
        <is>
          <t>7597-34-9837</t>
        </is>
      </c>
      <c r="V56" t="inlineStr">
        <is>
          <t>11900 BRADY LN</t>
        </is>
      </c>
      <c r="W56" t="inlineStr">
        <is>
          <t>Premier Business Park Bldg A (Planned)</t>
        </is>
      </c>
      <c r="AA56" t="inlineStr">
        <is>
          <t>SPR2027-00041 [Site Plan - Final; Pending; GPIN (building parcel)]</t>
        </is>
      </c>
      <c r="AB56" t="inlineStr">
        <is>
          <t>SPR2027-00041 (Pending)</t>
        </is>
      </c>
      <c r="AC56" t="inlineStr">
        <is>
          <t>06882327-a3cd-4bd2-9646-9f72bd231847</t>
        </is>
      </c>
      <c r="AD56" t="inlineStr">
        <is>
          <t>Build_Out_Analysis/10 (campuses); Build_Out_Analysis/9 (buildings); ePortal</t>
        </is>
      </c>
      <c r="AE56" t="inlineStr">
        <is>
          <t>https://gisweb.pwcva.gov/arcgis/rest/services/Planning/Build_Out_Analysis/MapServer/10/552?f=html | https://gisweb.pwcva.gov/arcgis/rest/services/Planning/Build_Out_Analysis/MapServer/9/query?where=GPIN IS NOT NULL&amp;outFields=*&amp;f=html (buildings joined spatially) | https://egcss.pwcgov.org/SelfService#/home</t>
        </is>
      </c>
      <c r="AF56" t="inlineStr">
        <is>
          <t>2026-09-25</t>
        </is>
      </c>
    </row>
    <row r="57">
      <c r="A57" t="n">
        <v>56</v>
      </c>
      <c r="B57" t="inlineStr">
        <is>
          <t>Project Gulfstream</t>
        </is>
      </c>
      <c r="C57" t="n">
        <v>4</v>
      </c>
      <c r="D57" t="inlineStr">
        <is>
          <t>Great Oak</t>
        </is>
      </c>
      <c r="E57" t="inlineStr">
        <is>
          <t>REZ1987-0021</t>
        </is>
      </c>
      <c r="F57" t="inlineStr">
        <is>
          <t>REZ1987-0021</t>
        </is>
      </c>
      <c r="G57" t="inlineStr">
        <is>
          <t>Approved / Planned</t>
        </is>
      </c>
      <c r="H57" t="inlineStr">
        <is>
          <t>Planned</t>
        </is>
      </c>
      <c r="K57" t="inlineStr">
        <is>
          <t>Rule 3: campus ProjectStatus Planned</t>
        </is>
      </c>
      <c r="L57" t="n">
        <v>64.90000000000001</v>
      </c>
      <c r="M57" t="n">
        <v>1238020</v>
      </c>
      <c r="N57" t="n">
        <v>1238020</v>
      </c>
      <c r="O57" t="n">
        <v>4</v>
      </c>
      <c r="P57" t="inlineStr">
        <is>
          <t>Planned: 4</t>
        </is>
      </c>
      <c r="Q57" t="n">
        <v>1238020</v>
      </c>
      <c r="R57" t="inlineStr">
        <is>
          <t>Coles</t>
        </is>
      </c>
      <c r="S57" t="inlineStr">
        <is>
          <t>Yes</t>
        </is>
      </c>
      <c r="T57" t="inlineStr">
        <is>
          <t>M-2</t>
        </is>
      </c>
      <c r="U57" t="inlineStr">
        <is>
          <t>7694-68-7035; 7694-69-8742; 7694-78-6585</t>
        </is>
      </c>
      <c r="V57" t="inlineStr">
        <is>
          <t>10230 HARRY J PARRISH BLVD; 10231 HARRY J PARRISH BLVD; 10250 HARRY J PARRISH BLVD</t>
        </is>
      </c>
      <c r="W57" t="inlineStr">
        <is>
          <t>Project Gulfstream Bldg A (Planned); Project Gulfstream Bldg B (Planned); Project Gulfstream Bldg C (Planned); Project Gulfstream Bldg D (Planned)</t>
        </is>
      </c>
      <c r="AC57" t="inlineStr">
        <is>
          <t>fcd445a8-af13-446b-b852-86f22fb0ba21</t>
        </is>
      </c>
      <c r="AD57" t="inlineStr">
        <is>
          <t>Build_Out_Analysis/10 (campuses); Build_Out_Analysis/9 (buildings)</t>
        </is>
      </c>
      <c r="AE57" t="inlineStr">
        <is>
          <t>https://gisweb.pwcva.gov/arcgis/rest/services/Planning/Build_Out_Analysis/MapServer/10/59?f=html | https://gisweb.pwcva.gov/arcgis/rest/services/Planning/Build_Out_Analysis/MapServer/9/query?where=GPIN IS NOT NULL&amp;outFields=*&amp;f=html (buildings joined spatially)</t>
        </is>
      </c>
      <c r="AF57" t="inlineStr">
        <is>
          <t>2026-09-25</t>
        </is>
      </c>
    </row>
    <row r="58">
      <c r="A58" t="n">
        <v>57</v>
      </c>
      <c r="B58" t="inlineStr">
        <is>
          <t>Project Well</t>
        </is>
      </c>
      <c r="C58" t="n">
        <v>2</v>
      </c>
      <c r="D58" t="inlineStr">
        <is>
          <t>WORSHAM</t>
        </is>
      </c>
      <c r="E58" t="inlineStr">
        <is>
          <t>REZ1979-0021</t>
        </is>
      </c>
      <c r="F58" t="inlineStr">
        <is>
          <t>REZ1979-0021; REZ2025-00026</t>
        </is>
      </c>
      <c r="G58" t="inlineStr">
        <is>
          <t>Approved / Planned</t>
        </is>
      </c>
      <c r="H58" t="inlineStr">
        <is>
          <t>Planned</t>
        </is>
      </c>
      <c r="K58" t="inlineStr">
        <is>
          <t>Rule 3: campus ProjectStatus Planned</t>
        </is>
      </c>
      <c r="L58" t="n">
        <v>43.94</v>
      </c>
      <c r="M58" t="n">
        <v>490970</v>
      </c>
      <c r="N58" t="n">
        <v>490970</v>
      </c>
      <c r="O58" t="n">
        <v>2</v>
      </c>
      <c r="P58" t="inlineStr">
        <is>
          <t>Planned: 2</t>
        </is>
      </c>
      <c r="Q58" t="n">
        <v>490970</v>
      </c>
      <c r="R58" t="inlineStr">
        <is>
          <t>Brentsville</t>
        </is>
      </c>
      <c r="S58" t="inlineStr">
        <is>
          <t>Yes</t>
        </is>
      </c>
      <c r="T58" t="inlineStr">
        <is>
          <t>M-2</t>
        </is>
      </c>
      <c r="U58" t="inlineStr">
        <is>
          <t>7496-97-8786; 7596-08-1375</t>
        </is>
      </c>
      <c r="V58" t="inlineStr">
        <is>
          <t>6894 WELLINGTON RD; 6898 WELLINGTON RD</t>
        </is>
      </c>
      <c r="W58" t="inlineStr">
        <is>
          <t>Project Well A (Planned); Project Well B (Planned)</t>
        </is>
      </c>
      <c r="AA58" t="inlineStr">
        <is>
          <t>REZ2025-00026 [Rezoning - Mixed Use; Withdrawn; case number]; SPR2026-00108 [Site Plan - Final; Closed; GPIN (building parcel)]; SPR2026-00362 [Site Plan - Final; Pending; GPIN (building parcel)]</t>
        </is>
      </c>
      <c r="AB58" t="inlineStr">
        <is>
          <t>SPR2026-00362 (Pending)</t>
        </is>
      </c>
      <c r="AC58" t="inlineStr">
        <is>
          <t>d71293f1-b842-4858-9413-f26d93b2f4c1</t>
        </is>
      </c>
      <c r="AD58" t="inlineStr">
        <is>
          <t>Build_Out_Analysis/10 (campuses); Build_Out_Analysis/9 (buildings); ePortal</t>
        </is>
      </c>
      <c r="AE58" t="inlineStr">
        <is>
          <t>https://gisweb.pwcva.gov/arcgis/rest/services/Planning/Build_Out_Analysis/MapServer/10/49?f=html | https://gisweb.pwcva.gov/arcgis/rest/services/Planning/Build_Out_Analysis/MapServer/9/query?where=GPIN IS NOT NULL&amp;outFields=*&amp;f=html (buildings joined spatially) | https://egcss.pwcgov.org/SelfService#/home</t>
        </is>
      </c>
      <c r="AF58" t="inlineStr">
        <is>
          <t>2026-09-25</t>
        </is>
      </c>
    </row>
    <row r="59">
      <c r="A59" t="n">
        <v>58</v>
      </c>
      <c r="B59" t="inlineStr">
        <is>
          <t>Redstone Tech Park Central</t>
        </is>
      </c>
      <c r="C59" t="n">
        <v>2</v>
      </c>
      <c r="D59" t="inlineStr">
        <is>
          <t>BROAD RUN INDUSTRIAL PARK</t>
        </is>
      </c>
      <c r="E59" t="inlineStr">
        <is>
          <t>REZ1994-0013</t>
        </is>
      </c>
      <c r="F59" t="inlineStr">
        <is>
          <t>REZ1994-0013</t>
        </is>
      </c>
      <c r="G59" t="inlineStr">
        <is>
          <t>Approved / Planned</t>
        </is>
      </c>
      <c r="H59" t="inlineStr">
        <is>
          <t>Planned</t>
        </is>
      </c>
      <c r="K59" t="inlineStr">
        <is>
          <t>Rule 3: campus ProjectStatus Planned</t>
        </is>
      </c>
      <c r="L59" t="n">
        <v>4.66</v>
      </c>
      <c r="M59" t="n">
        <v>28774</v>
      </c>
      <c r="N59" t="n">
        <v>28774</v>
      </c>
      <c r="O59" t="n">
        <v>2</v>
      </c>
      <c r="P59" t="inlineStr">
        <is>
          <t>Planned: 2</t>
        </is>
      </c>
      <c r="Q59" t="n">
        <v>28774</v>
      </c>
      <c r="R59" t="inlineStr">
        <is>
          <t>Brentsville</t>
        </is>
      </c>
      <c r="S59" t="inlineStr">
        <is>
          <t>Yes</t>
        </is>
      </c>
      <c r="T59" t="inlineStr">
        <is>
          <t>M-1</t>
        </is>
      </c>
      <c r="U59" t="inlineStr">
        <is>
          <t>7595-67-8821</t>
        </is>
      </c>
      <c r="V59" t="inlineStr">
        <is>
          <t>9651 HAWKINS DR MANASSAS, VA 20109</t>
        </is>
      </c>
      <c r="W59" t="inlineStr">
        <is>
          <t>Redstone 3 (Planned); Redstone 4 (Planned)</t>
        </is>
      </c>
      <c r="AA59" t="inlineStr">
        <is>
          <t>SPR2026-00228 [Site Plan - Final; Pending; GPIN (building parcel)]</t>
        </is>
      </c>
      <c r="AB59" t="inlineStr">
        <is>
          <t>SPR2026-00228 (Pending)</t>
        </is>
      </c>
      <c r="AC59" t="inlineStr">
        <is>
          <t>785e4c31-8a50-4999-a6f0-e0212ab605bd</t>
        </is>
      </c>
      <c r="AD59" t="inlineStr">
        <is>
          <t>Build_Out_Analysis/10 (campuses); Build_Out_Analysis/9 (buildings); ePortal</t>
        </is>
      </c>
      <c r="AE59" t="inlineStr">
        <is>
          <t>https://gisweb.pwcva.gov/arcgis/rest/services/Planning/Build_Out_Analysis/MapServer/10/84?f=html | https://gisweb.pwcva.gov/arcgis/rest/services/Planning/Build_Out_Analysis/MapServer/9/query?where=GPIN IS NOT NULL&amp;outFields=*&amp;f=html (buildings joined spatially) | https://egcss.pwcgov.org/SelfService#/home</t>
        </is>
      </c>
      <c r="AF59" t="inlineStr">
        <is>
          <t>2026-09-25</t>
        </is>
      </c>
    </row>
    <row r="60">
      <c r="A60" t="n">
        <v>59</v>
      </c>
      <c r="B60" t="inlineStr">
        <is>
          <t>Redstone Tech Park North</t>
        </is>
      </c>
      <c r="C60" t="n">
        <v>5</v>
      </c>
      <c r="D60" t="inlineStr">
        <is>
          <t>REDSTONE INDUSTRIAL PARK</t>
        </is>
      </c>
      <c r="E60" t="inlineStr">
        <is>
          <t>PLN2008-00253</t>
        </is>
      </c>
      <c r="F60" t="inlineStr">
        <is>
          <t>PLN2008-00253; REZ1996-0016; REZ1985-0048</t>
        </is>
      </c>
      <c r="G60" t="inlineStr">
        <is>
          <t>Approved / Planned</t>
        </is>
      </c>
      <c r="H60" t="inlineStr">
        <is>
          <t>Planned</t>
        </is>
      </c>
      <c r="K60" t="inlineStr">
        <is>
          <t>Rule 3: campus ProjectStatus Planned</t>
        </is>
      </c>
      <c r="L60" t="n">
        <v>66.7</v>
      </c>
      <c r="M60" t="n">
        <v>1262501</v>
      </c>
      <c r="N60" t="n">
        <v>1262501</v>
      </c>
      <c r="O60" t="n">
        <v>5</v>
      </c>
      <c r="P60" t="inlineStr">
        <is>
          <t>Planned: 5</t>
        </is>
      </c>
      <c r="Q60" t="n">
        <v>1262501</v>
      </c>
      <c r="R60" t="inlineStr">
        <is>
          <t>Brentsville</t>
        </is>
      </c>
      <c r="S60" t="inlineStr">
        <is>
          <t>Yes</t>
        </is>
      </c>
      <c r="T60" t="inlineStr">
        <is>
          <t>M-1</t>
        </is>
      </c>
      <c r="U60" t="inlineStr">
        <is>
          <t>7595-69-2101; 7595-69-2565; 7595-69-4800; 7595-78-0192; 7595-88-0593</t>
        </is>
      </c>
      <c r="V60" t="inlineStr">
        <is>
          <t>11090 INDUSTRIAL RD; 11124 INDUSTRIAL RD; 11138 INDUSTRIAL RD; 11140 INDUSTRIAL RD; 11144 INDUSTRIAL RD</t>
        </is>
      </c>
      <c r="W60" t="inlineStr">
        <is>
          <t>Redstone Tech Park North A (Planned); Redstone Tech Park North B (Planned); Redstone Tech Park North C (Planned); Redstone Tech Park North D (Planned); Redstone Tech Park North E (Planned)</t>
        </is>
      </c>
      <c r="AA60" t="inlineStr">
        <is>
          <t>SPR2026-00299 [Site Plan - Final; Awaiting Fees; name exact]</t>
        </is>
      </c>
      <c r="AB60" t="inlineStr">
        <is>
          <t>SPR2026-00299 (Awaiting Fees)</t>
        </is>
      </c>
      <c r="AC60" t="inlineStr">
        <is>
          <t>f9e747f6-b26c-4530-a2fc-298b4be7561d</t>
        </is>
      </c>
      <c r="AD60" t="inlineStr">
        <is>
          <t>Build_Out_Analysis/10 (campuses); Build_Out_Analysis/9 (buildings); ePortal</t>
        </is>
      </c>
      <c r="AE60" t="inlineStr">
        <is>
          <t>https://gisweb.pwcva.gov/arcgis/rest/services/Planning/Build_Out_Analysis/MapServer/10/89?f=html | https://gisweb.pwcva.gov/arcgis/rest/services/Planning/Build_Out_Analysis/MapServer/9/query?where=GPIN IS NOT NULL&amp;outFields=*&amp;f=html (buildings joined spatially) | https://egcss.pwcgov.org/SelfService#/home</t>
        </is>
      </c>
      <c r="AF60" t="inlineStr">
        <is>
          <t>2026-09-25</t>
        </is>
      </c>
    </row>
    <row r="61">
      <c r="A61" t="n">
        <v>60</v>
      </c>
      <c r="B61" t="inlineStr">
        <is>
          <t>Redstone Tech Park South</t>
        </is>
      </c>
      <c r="C61" t="n">
        <v>2</v>
      </c>
      <c r="D61" t="inlineStr">
        <is>
          <t>ALBRITE PROPERTY</t>
        </is>
      </c>
      <c r="E61" t="inlineStr">
        <is>
          <t>PLN2007-00406</t>
        </is>
      </c>
      <c r="F61" t="inlineStr">
        <is>
          <t>PLN2007-00406; REZ1998-0006</t>
        </is>
      </c>
      <c r="G61" t="inlineStr">
        <is>
          <t>Approved / Planned</t>
        </is>
      </c>
      <c r="H61" t="inlineStr">
        <is>
          <t>Planned</t>
        </is>
      </c>
      <c r="K61" t="inlineStr">
        <is>
          <t>Rule 3: campus ProjectStatus Planned</t>
        </is>
      </c>
      <c r="L61" t="n">
        <v>18.56</v>
      </c>
      <c r="M61" t="n">
        <v>396887</v>
      </c>
      <c r="N61" t="n">
        <v>396887</v>
      </c>
      <c r="O61" t="n">
        <v>2</v>
      </c>
      <c r="P61" t="inlineStr">
        <is>
          <t>Planned: 2</t>
        </is>
      </c>
      <c r="Q61" t="n">
        <v>396887</v>
      </c>
      <c r="R61" t="inlineStr">
        <is>
          <t>Brentsville</t>
        </is>
      </c>
      <c r="S61" t="inlineStr">
        <is>
          <t>Yes</t>
        </is>
      </c>
      <c r="T61" t="inlineStr">
        <is>
          <t>M/T</t>
        </is>
      </c>
      <c r="U61" t="inlineStr">
        <is>
          <t>7595-77-5466; 7595-78-4035</t>
        </is>
      </c>
      <c r="V61" t="inlineStr">
        <is>
          <t>11101 INDUSTRIAL RD; 9512 HORNBAKER RD</t>
        </is>
      </c>
      <c r="W61" t="inlineStr">
        <is>
          <t>Redstone Tech Park South E (Planned); Redstone Tech Park South F (Planned)</t>
        </is>
      </c>
      <c r="AC61" t="inlineStr">
        <is>
          <t>39bf6af9-497e-4aa4-9660-80eefa23bf0f</t>
        </is>
      </c>
      <c r="AD61" t="inlineStr">
        <is>
          <t>Build_Out_Analysis/10 (campuses); Build_Out_Analysis/9 (buildings)</t>
        </is>
      </c>
      <c r="AE61" t="inlineStr">
        <is>
          <t>https://gisweb.pwcva.gov/arcgis/rest/services/Planning/Build_Out_Analysis/MapServer/10/76?f=html | https://gisweb.pwcva.gov/arcgis/rest/services/Planning/Build_Out_Analysis/MapServer/9/query?where=GPIN IS NOT NULL&amp;outFields=*&amp;f=html (buildings joined spatially)</t>
        </is>
      </c>
      <c r="AF61" t="inlineStr">
        <is>
          <t>2026-09-25</t>
        </is>
      </c>
    </row>
    <row r="62">
      <c r="A62" t="n">
        <v>61</v>
      </c>
      <c r="B62" t="inlineStr">
        <is>
          <t>Rose East/West</t>
        </is>
      </c>
      <c r="C62" t="n">
        <v>3</v>
      </c>
      <c r="D62" t="inlineStr">
        <is>
          <t>WELLINGTON BUSINESS PARK</t>
        </is>
      </c>
      <c r="E62" t="inlineStr">
        <is>
          <t>PLN2004-00071</t>
        </is>
      </c>
      <c r="F62" t="inlineStr">
        <is>
          <t>PLN2004-00071</t>
        </is>
      </c>
      <c r="G62" t="inlineStr">
        <is>
          <t>Approved / Planned</t>
        </is>
      </c>
      <c r="H62" t="inlineStr">
        <is>
          <t>Planned</t>
        </is>
      </c>
      <c r="K62" t="inlineStr">
        <is>
          <t>Rule 3: campus ProjectStatus Planned</t>
        </is>
      </c>
      <c r="L62" t="n">
        <v>34.8</v>
      </c>
      <c r="M62" t="n">
        <v>622186</v>
      </c>
      <c r="N62" t="n">
        <v>622186</v>
      </c>
      <c r="O62" t="n">
        <v>3</v>
      </c>
      <c r="P62" t="inlineStr">
        <is>
          <t>Planned: 3</t>
        </is>
      </c>
      <c r="Q62" t="n">
        <v>868254</v>
      </c>
      <c r="R62" t="inlineStr">
        <is>
          <t>Brentsville</t>
        </is>
      </c>
      <c r="S62" t="inlineStr">
        <is>
          <t>Yes</t>
        </is>
      </c>
      <c r="T62" t="inlineStr">
        <is>
          <t>M/T</t>
        </is>
      </c>
      <c r="U62" t="inlineStr">
        <is>
          <t>7596-09-7967</t>
        </is>
      </c>
      <c r="V62" t="inlineStr">
        <is>
          <t>6895 WELLINGTON RD; 7911 MERRIFIELD GARDEN WAY MANASSAS, VA</t>
        </is>
      </c>
      <c r="W62" t="inlineStr">
        <is>
          <t>Rose East A (Planned); Rose East B (Planned); Rose West (Planned)</t>
        </is>
      </c>
      <c r="AC62" t="inlineStr">
        <is>
          <t>1f3ea70c-725c-49a2-8f29-2492ed6a5e27</t>
        </is>
      </c>
      <c r="AD62" t="inlineStr">
        <is>
          <t>Build_Out_Analysis/10 (campuses); Build_Out_Analysis/9 (buildings)</t>
        </is>
      </c>
      <c r="AE62" t="inlineStr">
        <is>
          <t>https://gisweb.pwcva.gov/arcgis/rest/services/Planning/Build_Out_Analysis/MapServer/10/66?f=html | https://gisweb.pwcva.gov/arcgis/rest/services/Planning/Build_Out_Analysis/MapServer/9/query?where=GPIN IS NOT NULL&amp;outFields=*&amp;f=html (buildings joined spatially)</t>
        </is>
      </c>
      <c r="AF62" t="inlineStr">
        <is>
          <t>2026-09-25</t>
        </is>
      </c>
    </row>
    <row r="63">
      <c r="A63" t="n">
        <v>62</v>
      </c>
      <c r="B63" t="inlineStr">
        <is>
          <t>Stack Northern Virginia NVA05</t>
        </is>
      </c>
      <c r="C63" t="n">
        <v>1</v>
      </c>
      <c r="D63" t="inlineStr">
        <is>
          <t>Stoneview</t>
        </is>
      </c>
      <c r="E63" t="inlineStr">
        <is>
          <t>REZ2023-00026</t>
        </is>
      </c>
      <c r="F63" t="inlineStr">
        <is>
          <t>REZ2023-00026</t>
        </is>
      </c>
      <c r="G63" t="inlineStr">
        <is>
          <t>Approved / Planned</t>
        </is>
      </c>
      <c r="H63" t="inlineStr">
        <is>
          <t>Planned</t>
        </is>
      </c>
      <c r="J63" t="inlineStr">
        <is>
          <t>Approved</t>
        </is>
      </c>
      <c r="K63" t="inlineStr">
        <is>
          <t>Rule 3: campus ProjectStatus Planned</t>
        </is>
      </c>
      <c r="L63" t="n">
        <v>12.37</v>
      </c>
      <c r="M63" t="n">
        <v>326500</v>
      </c>
      <c r="N63" t="n">
        <v>326500</v>
      </c>
      <c r="O63" t="n">
        <v>1</v>
      </c>
      <c r="P63" t="inlineStr">
        <is>
          <t>Planned: 1</t>
        </is>
      </c>
      <c r="Q63" t="n">
        <v>326500</v>
      </c>
      <c r="R63" t="inlineStr">
        <is>
          <t>Brentsville</t>
        </is>
      </c>
      <c r="S63" t="inlineStr">
        <is>
          <t>Yes</t>
        </is>
      </c>
      <c r="T63" t="inlineStr">
        <is>
          <t>M-2</t>
        </is>
      </c>
      <c r="U63" t="inlineStr">
        <is>
          <t>7696-33-1105</t>
        </is>
      </c>
      <c r="V63" t="inlineStr">
        <is>
          <t>8671 WELLINGTON RD</t>
        </is>
      </c>
      <c r="W63" t="inlineStr">
        <is>
          <t>Stack Northern Virginia NVA05E (Planned)</t>
        </is>
      </c>
      <c r="AA63" t="inlineStr">
        <is>
          <t>REZ2023-00026 [Rezoning - Non-Residential; Approved; case number]</t>
        </is>
      </c>
      <c r="AC63" t="inlineStr">
        <is>
          <t>3f012be5-4a81-4341-8710-e239efdb3b1e</t>
        </is>
      </c>
      <c r="AD63" t="inlineStr">
        <is>
          <t>Build_Out_Analysis/10 (campuses); Build_Out_Analysis/9 (buildings); ePortal</t>
        </is>
      </c>
      <c r="AE63" t="inlineStr">
        <is>
          <t>https://gisweb.pwcva.gov/arcgis/rest/services/Planning/Build_Out_Analysis/MapServer/10/18?f=html | https://gisweb.pwcva.gov/arcgis/rest/services/Planning/Build_Out_Analysis/MapServer/9/query?where=GPIN IS NOT NULL&amp;outFields=*&amp;f=html (buildings joined spatially) | https://egcss.pwcgov.org/SelfService#/home</t>
        </is>
      </c>
      <c r="AF63" t="inlineStr">
        <is>
          <t>2026-09-25</t>
        </is>
      </c>
    </row>
    <row r="64">
      <c r="A64" t="n">
        <v>63</v>
      </c>
      <c r="B64" t="inlineStr">
        <is>
          <t>Sudley Manor North</t>
        </is>
      </c>
      <c r="C64" t="n">
        <v>1</v>
      </c>
      <c r="D64" t="inlineStr">
        <is>
          <t>11951 Sudley Manor Drive</t>
        </is>
      </c>
      <c r="E64" t="inlineStr">
        <is>
          <t>REZ2020-00010</t>
        </is>
      </c>
      <c r="F64" t="inlineStr">
        <is>
          <t>REZ2020-00010</t>
        </is>
      </c>
      <c r="G64" t="inlineStr">
        <is>
          <t>Approved / Planned</t>
        </is>
      </c>
      <c r="H64" t="inlineStr">
        <is>
          <t>Planned</t>
        </is>
      </c>
      <c r="J64" t="inlineStr">
        <is>
          <t>Approved</t>
        </is>
      </c>
      <c r="K64" t="inlineStr">
        <is>
          <t>Rule 3: campus ProjectStatus Planned</t>
        </is>
      </c>
      <c r="L64" t="n">
        <v>19.27</v>
      </c>
      <c r="M64" t="n">
        <v>417960</v>
      </c>
      <c r="N64" t="n">
        <v>417960</v>
      </c>
      <c r="O64" t="n">
        <v>1</v>
      </c>
      <c r="P64" t="inlineStr">
        <is>
          <t>Planned: 1</t>
        </is>
      </c>
      <c r="Q64" t="n">
        <v>417960</v>
      </c>
      <c r="R64" t="inlineStr">
        <is>
          <t>Brentsville</t>
        </is>
      </c>
      <c r="S64" t="inlineStr">
        <is>
          <t>Yes</t>
        </is>
      </c>
      <c r="T64" t="inlineStr">
        <is>
          <t>PBD</t>
        </is>
      </c>
      <c r="U64" t="inlineStr">
        <is>
          <t>7596-43-9061</t>
        </is>
      </c>
      <c r="V64" t="inlineStr">
        <is>
          <t>11950 SUDLEY MANOR DR</t>
        </is>
      </c>
      <c r="W64" t="inlineStr">
        <is>
          <t>Sudley Manor North (Planned)</t>
        </is>
      </c>
      <c r="AA64" t="inlineStr">
        <is>
          <t>REZ2020-00010 [Rezoning - Non-Residential; Approved; case number]; SPR2027-00078 [Site Plan - Final; Pending; GPIN (building parcel)]</t>
        </is>
      </c>
      <c r="AB64" t="inlineStr">
        <is>
          <t>SPR2027-00078 (Pending)</t>
        </is>
      </c>
      <c r="AC64" t="inlineStr">
        <is>
          <t>c31952ca-2934-4acc-ab29-9db4ec01e339</t>
        </is>
      </c>
      <c r="AD64" t="inlineStr">
        <is>
          <t>Build_Out_Analysis/10 (campuses); Build_Out_Analysis/9 (buildings); ePortal</t>
        </is>
      </c>
      <c r="AE64" t="inlineStr">
        <is>
          <t>https://gisweb.pwcva.gov/arcgis/rest/services/Planning/Build_Out_Analysis/MapServer/10/562?f=html | https://gisweb.pwcva.gov/arcgis/rest/services/Planning/Build_Out_Analysis/MapServer/9/query?where=GPIN IS NOT NULL&amp;outFields=*&amp;f=html (buildings joined spatially) | https://egcss.pwcgov.org/SelfService#/home</t>
        </is>
      </c>
      <c r="AF64" t="inlineStr">
        <is>
          <t>2026-09-25</t>
        </is>
      </c>
    </row>
    <row r="65">
      <c r="A65" t="n">
        <v>64</v>
      </c>
      <c r="B65" t="inlineStr">
        <is>
          <t>Wellington Glen Technology Park</t>
        </is>
      </c>
      <c r="C65" t="n">
        <v>1</v>
      </c>
      <c r="D65" t="inlineStr">
        <is>
          <t>Wellington Glen Technology Park</t>
        </is>
      </c>
      <c r="E65" t="inlineStr">
        <is>
          <t>REZ2024-00018</t>
        </is>
      </c>
      <c r="F65" t="inlineStr">
        <is>
          <t>REZ2024-00018</t>
        </is>
      </c>
      <c r="G65" t="inlineStr">
        <is>
          <t>Approved / Planned</t>
        </is>
      </c>
      <c r="H65" t="inlineStr">
        <is>
          <t>Planned</t>
        </is>
      </c>
      <c r="J65" t="inlineStr">
        <is>
          <t>Approved</t>
        </is>
      </c>
      <c r="K65" t="inlineStr">
        <is>
          <t>Rule 3: campus ProjectStatus Planned</t>
        </is>
      </c>
      <c r="L65" t="n">
        <v>27.73</v>
      </c>
      <c r="M65" t="n">
        <v>673198</v>
      </c>
      <c r="N65" t="n">
        <v>673198</v>
      </c>
      <c r="O65" t="n">
        <v>1</v>
      </c>
      <c r="P65" t="inlineStr">
        <is>
          <t>Planned: 1</t>
        </is>
      </c>
      <c r="Q65" t="n">
        <v>475000</v>
      </c>
      <c r="R65" t="inlineStr">
        <is>
          <t>Brentsville</t>
        </is>
      </c>
      <c r="S65" t="inlineStr">
        <is>
          <t>Yes</t>
        </is>
      </c>
      <c r="T65" t="inlineStr">
        <is>
          <t>PMD</t>
        </is>
      </c>
      <c r="U65" t="inlineStr">
        <is>
          <t>7596-54-4132</t>
        </is>
      </c>
      <c r="V65" t="inlineStr">
        <is>
          <t>11750 STONE CROP DR</t>
        </is>
      </c>
      <c r="W65" t="inlineStr">
        <is>
          <t>Wellington Glen Technology Park (Planned)</t>
        </is>
      </c>
      <c r="AA65" t="inlineStr">
        <is>
          <t>REZ2024-00018 [Rezoning - Proffer Amendment; Approved; case number]; SPR2026-00052 [Site Plan - Grading/Preconstruction Plan; Approved; GPIN (building parcel)]; SPR2026-00138 [Site Plan - Final; Pending; GPIN (building parcel)]</t>
        </is>
      </c>
      <c r="AB65" t="inlineStr">
        <is>
          <t>SPR2026-00138 (Pending)</t>
        </is>
      </c>
      <c r="AC65" t="inlineStr">
        <is>
          <t>3698201f-36be-463f-bc8c-a11881726c77</t>
        </is>
      </c>
      <c r="AD65" t="inlineStr">
        <is>
          <t>Build_Out_Analysis/10 (campuses); Build_Out_Analysis/9 (buildings); ePortal</t>
        </is>
      </c>
      <c r="AE65" t="inlineStr">
        <is>
          <t>https://gisweb.pwcva.gov/arcgis/rest/services/Planning/Build_Out_Analysis/MapServer/10/20?f=html | https://gisweb.pwcva.gov/arcgis/rest/services/Planning/Build_Out_Analysis/MapServer/9/query?where=GPIN IS NOT NULL&amp;outFields=*&amp;f=html (buildings joined spatially) | https://egcss.pwcgov.org/SelfService#/home</t>
        </is>
      </c>
      <c r="AF65" t="inlineStr">
        <is>
          <t>2026-09-25</t>
        </is>
      </c>
    </row>
    <row r="66">
      <c r="A66" t="n">
        <v>65</v>
      </c>
      <c r="B66" t="inlineStr">
        <is>
          <t>Yondr Bristow</t>
        </is>
      </c>
      <c r="C66" t="n">
        <v>4</v>
      </c>
      <c r="D66" t="inlineStr">
        <is>
          <t>Aura Development</t>
        </is>
      </c>
      <c r="E66" t="inlineStr">
        <is>
          <t>REZ2017-00023</t>
        </is>
      </c>
      <c r="F66" t="inlineStr">
        <is>
          <t>REZ2017-00023</t>
        </is>
      </c>
      <c r="G66" t="inlineStr">
        <is>
          <t>Approved / Planned</t>
        </is>
      </c>
      <c r="H66" t="inlineStr">
        <is>
          <t>Planned</t>
        </is>
      </c>
      <c r="J66" t="inlineStr">
        <is>
          <t>Approved</t>
        </is>
      </c>
      <c r="K66" t="inlineStr">
        <is>
          <t>Rule 3: campus ProjectStatus Planned</t>
        </is>
      </c>
      <c r="L66" t="n">
        <v>253.56</v>
      </c>
      <c r="M66" t="n">
        <v>1068986</v>
      </c>
      <c r="N66" t="n">
        <v>455876</v>
      </c>
      <c r="O66" t="n">
        <v>4</v>
      </c>
      <c r="P66" t="inlineStr">
        <is>
          <t>Completed: 3; Planned: 1</t>
        </is>
      </c>
      <c r="Q66" t="n">
        <v>1068986</v>
      </c>
      <c r="R66" t="inlineStr">
        <is>
          <t>Brentsville</t>
        </is>
      </c>
      <c r="S66" t="inlineStr">
        <is>
          <t>Yes</t>
        </is>
      </c>
      <c r="T66" t="inlineStr">
        <is>
          <t>M-2</t>
        </is>
      </c>
      <c r="U66" t="inlineStr">
        <is>
          <t>7496-47-2405</t>
        </is>
      </c>
      <c r="V66" t="inlineStr">
        <is>
          <t>13040 ROLLINS FORD RD; 13051 ROLLINS FORD RD; 13080 ROLLINS FORD RD; 13085 ROLLINS FORD RD</t>
        </is>
      </c>
      <c r="W66" t="inlineStr">
        <is>
          <t>Yondr Bristow Campus Building 1 (Completed); Yondr Bristow Campus Building 2 (Completed); Yondr Bristow Campus Building 3 (Completed); Yondr Bristow Campus Building 4 (Planned)</t>
        </is>
      </c>
      <c r="X66" t="inlineStr">
        <is>
          <t>BLD2022-03616 (Finaled); BLD2023-01345 (Finaled); BLD2023-04428 (Finaled); BLD2027-01529 (Planned)</t>
        </is>
      </c>
      <c r="AA66" t="inlineStr">
        <is>
          <t>REZ2017-00023 [Rezoning - Mixed Use; Approved; case number]</t>
        </is>
      </c>
      <c r="AC66" t="inlineStr">
        <is>
          <t>635db761-516c-4b17-8de3-4283b79a94da</t>
        </is>
      </c>
      <c r="AD66" t="inlineStr">
        <is>
          <t>Build_Out_Analysis/10 (campuses); Build_Out_Analysis/9 (buildings); ePortal</t>
        </is>
      </c>
      <c r="AE66" t="inlineStr">
        <is>
          <t>https://gisweb.pwcva.gov/arcgis/rest/services/Planning/Build_Out_Analysis/MapServer/10/11?f=html | https://gisweb.pwcva.gov/arcgis/rest/services/Planning/Build_Out_Analysis/MapServer/9/query?where=GPIN IS NOT NULL&amp;outFields=*&amp;f=html (buildings joined spatially) | https://egcss.pwcgov.org/SelfService#/home</t>
        </is>
      </c>
      <c r="AF66" t="inlineStr">
        <is>
          <t>2026-10-01</t>
        </is>
      </c>
      <c r="AG66" t="inlineStr">
        <is>
          <t>3 building(s) already Completed on this campus</t>
        </is>
      </c>
    </row>
    <row r="67">
      <c r="A67" t="n">
        <v>66</v>
      </c>
      <c r="B67" t="inlineStr">
        <is>
          <t>Ashton Data Center</t>
        </is>
      </c>
      <c r="C67" t="n">
        <v>2</v>
      </c>
      <c r="D67" t="inlineStr">
        <is>
          <t>Ashton Data Center</t>
        </is>
      </c>
      <c r="E67" t="inlineStr">
        <is>
          <t>REZ2022-00031</t>
        </is>
      </c>
      <c r="F67" t="inlineStr">
        <is>
          <t>REZ2022-00031</t>
        </is>
      </c>
      <c r="G67" t="inlineStr">
        <is>
          <t>Pending / Under Review</t>
        </is>
      </c>
      <c r="H67" t="inlineStr">
        <is>
          <t>Pending</t>
        </is>
      </c>
      <c r="I67" t="inlineStr">
        <is>
          <t>Pending</t>
        </is>
      </c>
      <c r="J67" t="inlineStr">
        <is>
          <t>Pending</t>
        </is>
      </c>
      <c r="K67" t="inlineStr">
        <is>
          <t>Rule 4: campus ProjectStatus Pending + pending-case layer Pending</t>
        </is>
      </c>
      <c r="L67" t="n">
        <v>51.8</v>
      </c>
      <c r="M67" t="n">
        <v>600000</v>
      </c>
      <c r="N67" t="n">
        <v>600000</v>
      </c>
      <c r="O67" t="n">
        <v>2</v>
      </c>
      <c r="P67" t="inlineStr">
        <is>
          <t>Pending: 2</t>
        </is>
      </c>
      <c r="Q67" t="n">
        <v>600000</v>
      </c>
      <c r="R67" t="inlineStr">
        <is>
          <t>Brentsville</t>
        </is>
      </c>
      <c r="S67" t="inlineStr">
        <is>
          <t>Yes</t>
        </is>
      </c>
      <c r="T67" t="inlineStr">
        <is>
          <t>M/T</t>
        </is>
      </c>
      <c r="U67" t="inlineStr">
        <is>
          <t>7696-46-3403</t>
        </is>
      </c>
      <c r="V67" t="inlineStr">
        <is>
          <t>8552 ASHTON AVE</t>
        </is>
      </c>
      <c r="W67" t="inlineStr">
        <is>
          <t>Ashton Data Center 1 (Pending); Ashton Data Center 2 (Pending)</t>
        </is>
      </c>
      <c r="Y67" t="inlineStr">
        <is>
          <t>REZ2022-00031 [REZ; Pending; case number]</t>
        </is>
      </c>
      <c r="AA67" t="inlineStr">
        <is>
          <t>REZ2022-00031 [Rezoning - Non-Residential; Pending; case number]</t>
        </is>
      </c>
      <c r="AC67" t="inlineStr">
        <is>
          <t>f322379d-0301-4028-9ba5-e23724a6cb51</t>
        </is>
      </c>
      <c r="AD67" t="inlineStr">
        <is>
          <t>Build_Out_Analysis/10 (campuses); Build_Out_Analysis/9 (buildings); CountyMapper/LandDevelopment/2 (pending cases); ePortal</t>
        </is>
      </c>
      <c r="AE67" t="inlineStr">
        <is>
          <t>https://gisweb.pwcva.gov/arcgis/rest/services/Planning/Build_Out_Analysis/MapServer/10/17?f=html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67" t="inlineStr">
        <is>
          <t>2026-09-25</t>
        </is>
      </c>
    </row>
    <row r="68">
      <c r="A68" t="n">
        <v>67</v>
      </c>
      <c r="B68" t="inlineStr">
        <is>
          <t>Atlantic Funding</t>
        </is>
      </c>
      <c r="C68" t="n">
        <v>3</v>
      </c>
      <c r="D68" t="inlineStr">
        <is>
          <t>Atlantic Funding Development PRA</t>
        </is>
      </c>
      <c r="E68" t="inlineStr">
        <is>
          <t>REZ2026-00041</t>
        </is>
      </c>
      <c r="F68" t="inlineStr">
        <is>
          <t>REZ2026-00041; SUP2026-00033</t>
        </is>
      </c>
      <c r="G68" t="inlineStr">
        <is>
          <t>Pending / Under Review</t>
        </is>
      </c>
      <c r="H68" t="inlineStr">
        <is>
          <t>Pending</t>
        </is>
      </c>
      <c r="I68" t="inlineStr">
        <is>
          <t>Pending</t>
        </is>
      </c>
      <c r="J68" t="inlineStr">
        <is>
          <t>Pending</t>
        </is>
      </c>
      <c r="K68" t="inlineStr">
        <is>
          <t>Rule 4: campus ProjectStatus Pending + pending-case layer Pending</t>
        </is>
      </c>
      <c r="L68" t="n">
        <v>61.48</v>
      </c>
      <c r="M68" t="n">
        <v>601882</v>
      </c>
      <c r="N68" t="n">
        <v>601882</v>
      </c>
      <c r="O68" t="n">
        <v>3</v>
      </c>
      <c r="P68" t="inlineStr">
        <is>
          <t>Pending: 3</t>
        </is>
      </c>
      <c r="Q68" t="n">
        <v>601881</v>
      </c>
      <c r="R68" t="inlineStr">
        <is>
          <t>Potomac</t>
        </is>
      </c>
      <c r="S68" t="inlineStr">
        <is>
          <t>No</t>
        </is>
      </c>
      <c r="T68" t="inlineStr">
        <is>
          <t>M-2</t>
        </is>
      </c>
      <c r="U68" t="inlineStr">
        <is>
          <t>8290-03-9812</t>
        </is>
      </c>
      <c r="V68" t="inlineStr">
        <is>
          <t>16251 DUMFRIES ROAD</t>
        </is>
      </c>
      <c r="W68" t="inlineStr">
        <is>
          <t>Atlantic Funding 1 (Pending); Atlantic Funding 2 (Pending); Atlantic Funding 3 (Pending)</t>
        </is>
      </c>
      <c r="Y68" t="inlineStr">
        <is>
          <t>REZ2026-00041 [PRA; Pending; case number]; SUP2026-00033 [SUP; Pending; name exact (companion case, not keyword)]</t>
        </is>
      </c>
      <c r="AA68" t="inlineStr">
        <is>
          <t>REZ2026-00041 [Rezoning - Proffer Amendment; Pending; case number]; SUP2026-00033 [Special Use Permit - New Application; Pending; GPIN (building parcel)]</t>
        </is>
      </c>
      <c r="AC68" t="inlineStr">
        <is>
          <t>0a28badf-2c7c-4bea-bc19-d2b3e102f33d</t>
        </is>
      </c>
      <c r="AD68" t="inlineStr">
        <is>
          <t>Build_Out_Analysis/10 (campuses); Build_Out_Analysis/9 (buildings); CountyMapper/LandDevelopment/2 (pending cases); ePortal</t>
        </is>
      </c>
      <c r="AE68" t="inlineStr">
        <is>
          <t>https://gisweb.pwcva.gov/arcgis/rest/services/Planning/Build_Out_Analysis/MapServer/10/128?f=html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68" t="inlineStr">
        <is>
          <t>2026-09-25</t>
        </is>
      </c>
    </row>
    <row r="69">
      <c r="A69" t="n">
        <v>68</v>
      </c>
      <c r="B69" t="inlineStr">
        <is>
          <t>CloudHQ Manassas Corporate Center (MCC)</t>
        </is>
      </c>
      <c r="C69" t="n">
        <v>1</v>
      </c>
      <c r="D69" t="inlineStr">
        <is>
          <t>Manassas Corporate Center 8</t>
        </is>
      </c>
      <c r="E69" t="inlineStr">
        <is>
          <t>REZ2026-00032</t>
        </is>
      </c>
      <c r="F69" t="inlineStr">
        <is>
          <t>REZ2026-00032</t>
        </is>
      </c>
      <c r="G69" t="inlineStr">
        <is>
          <t>Pending / Under Review</t>
        </is>
      </c>
      <c r="H69" t="inlineStr">
        <is>
          <t>Pending</t>
        </is>
      </c>
      <c r="I69" t="inlineStr">
        <is>
          <t>Pending</t>
        </is>
      </c>
      <c r="J69" t="inlineStr">
        <is>
          <t>Pending</t>
        </is>
      </c>
      <c r="K69" t="inlineStr">
        <is>
          <t>Rule 4: campus ProjectStatus Pending + pending-case layer Pending</t>
        </is>
      </c>
      <c r="L69" t="n">
        <v>22.96</v>
      </c>
      <c r="M69" t="n">
        <v>860788</v>
      </c>
      <c r="N69" t="n">
        <v>860788</v>
      </c>
      <c r="O69" t="n">
        <v>1</v>
      </c>
      <c r="P69" t="inlineStr">
        <is>
          <t>Pending: 1</t>
        </is>
      </c>
      <c r="Q69" t="n">
        <v>860788</v>
      </c>
      <c r="R69" t="inlineStr">
        <is>
          <t>Coles</t>
        </is>
      </c>
      <c r="S69" t="inlineStr">
        <is>
          <t>Yes</t>
        </is>
      </c>
      <c r="T69" t="inlineStr">
        <is>
          <t>PBD</t>
        </is>
      </c>
      <c r="U69" t="inlineStr">
        <is>
          <t>7794-06-1635</t>
        </is>
      </c>
      <c r="V69" t="inlineStr">
        <is>
          <t>AIRMAN AVE</t>
        </is>
      </c>
      <c r="W69" t="inlineStr">
        <is>
          <t>CloudHQ Manassas Corporate Center 8 (Pending)</t>
        </is>
      </c>
      <c r="Y69" t="inlineStr">
        <is>
          <t>REZ2026-00032 [REZ; Pending; case number]</t>
        </is>
      </c>
      <c r="AA69" t="inlineStr">
        <is>
          <t>REZ2026-00032 [Rezoning - Mixed Use; Pending; case number]</t>
        </is>
      </c>
      <c r="AC69" t="inlineStr">
        <is>
          <t>90ca5774-aab1-4185-a26e-d3aa610f23f4</t>
        </is>
      </c>
      <c r="AD69" t="inlineStr">
        <is>
          <t>Build_Out_Analysis/10 (campuses); Build_Out_Analysis/9 (buildings); CountyMapper/LandDevelopment/2 (pending cases); ePortal</t>
        </is>
      </c>
      <c r="AE69" t="inlineStr">
        <is>
          <t>https://gisweb.pwcva.gov/arcgis/rest/services/Planning/Build_Out_Analysis/MapServer/10/50?f=html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69" t="inlineStr">
        <is>
          <t>2026-09-25</t>
        </is>
      </c>
    </row>
    <row r="70">
      <c r="A70" t="n">
        <v>69</v>
      </c>
      <c r="B70" t="inlineStr">
        <is>
          <t>Gardner Property</t>
        </is>
      </c>
      <c r="C70" t="n">
        <v>5</v>
      </c>
      <c r="D70" t="inlineStr">
        <is>
          <t>Gardner Property</t>
        </is>
      </c>
      <c r="E70" t="inlineStr">
        <is>
          <t>REZ2023-00018</t>
        </is>
      </c>
      <c r="F70" t="inlineStr">
        <is>
          <t>REZ2023-00018; SUP2027-00008</t>
        </is>
      </c>
      <c r="G70" t="inlineStr">
        <is>
          <t>Pending / Under Review</t>
        </is>
      </c>
      <c r="H70" t="inlineStr">
        <is>
          <t>Pending</t>
        </is>
      </c>
      <c r="I70" t="inlineStr">
        <is>
          <t>Under Review</t>
        </is>
      </c>
      <c r="J70" t="inlineStr">
        <is>
          <t>Under Review</t>
        </is>
      </c>
      <c r="K70" t="inlineStr">
        <is>
          <t>Rule 4: campus ProjectStatus Pending + pending-case layer Under Review</t>
        </is>
      </c>
      <c r="L70" t="n">
        <v>82.56999999999999</v>
      </c>
      <c r="M70" t="n">
        <v>2017100</v>
      </c>
      <c r="N70" t="n">
        <v>2017100</v>
      </c>
      <c r="O70" t="n">
        <v>5</v>
      </c>
      <c r="P70" t="inlineStr">
        <is>
          <t>Pending: 5</t>
        </is>
      </c>
      <c r="Q70" t="n">
        <v>2017100</v>
      </c>
      <c r="R70" t="inlineStr">
        <is>
          <t>Brentsville</t>
        </is>
      </c>
      <c r="S70" t="inlineStr">
        <is>
          <t>No</t>
        </is>
      </c>
      <c r="T70" t="inlineStr">
        <is>
          <t>PBD</t>
        </is>
      </c>
      <c r="U70" t="inlineStr">
        <is>
          <t>7397-34-3968</t>
        </is>
      </c>
      <c r="V70" t="inlineStr">
        <is>
          <t>14414 MCGRAWS CORNER DR</t>
        </is>
      </c>
      <c r="W70" t="inlineStr">
        <is>
          <t>Gardner Property A (Pending); Gardner Property B (Pending); Gardner Property C (Pending); Gardner Property D (Pending); Gardner Property E (Pending)</t>
        </is>
      </c>
      <c r="Y70" t="inlineStr">
        <is>
          <t>REZ2023-00018 [REZ; Under Review; case number]; SUP2027-00008 [SUP; Under Review; DC keyword; companion of REZ2023-00018 (by project name)]</t>
        </is>
      </c>
      <c r="AA70" t="inlineStr">
        <is>
          <t>REZ2023-00018 [Rezoning - Non-Residential; Under Review; case number]; SUP2027-00008 [Special Use Permit - New Application; Under Review; case number REZ2023-00018 referenced in description]</t>
        </is>
      </c>
      <c r="AC70" t="inlineStr">
        <is>
          <t>54197449-7161-4168-861a-d85676a180a3</t>
        </is>
      </c>
      <c r="AD70" t="inlineStr">
        <is>
          <t>Build_Out_Analysis/10 (campuses); Build_Out_Analysis/9 (buildings); CountyMapper/LandDevelopment/2 (pending cases); ePortal</t>
        </is>
      </c>
      <c r="AE70" t="inlineStr">
        <is>
          <t>https://gisweb.pwcva.gov/arcgis/rest/services/Planning/Build_Out_Analysis/MapServer/10/36?f=html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70" t="inlineStr">
        <is>
          <t>2026-09-25</t>
        </is>
      </c>
    </row>
    <row r="71">
      <c r="A71" t="n">
        <v>70</v>
      </c>
      <c r="B71" t="inlineStr">
        <is>
          <t>Hunter Property</t>
        </is>
      </c>
      <c r="C71" t="n">
        <v>10</v>
      </c>
      <c r="D71" t="inlineStr">
        <is>
          <t>Hunter Property</t>
        </is>
      </c>
      <c r="E71" t="inlineStr">
        <is>
          <t>REZ2022-00019</t>
        </is>
      </c>
      <c r="F71" t="inlineStr">
        <is>
          <t>REZ2022-00019; REZ2020-00022</t>
        </is>
      </c>
      <c r="G71" t="inlineStr">
        <is>
          <t>Pending / Under Review</t>
        </is>
      </c>
      <c r="H71" t="inlineStr">
        <is>
          <t>Pending</t>
        </is>
      </c>
      <c r="I71" t="inlineStr">
        <is>
          <t>Suspended (On-Hold)</t>
        </is>
      </c>
      <c r="J71" t="inlineStr">
        <is>
          <t>Suspended (On-Hold)</t>
        </is>
      </c>
      <c r="K71" t="inlineStr">
        <is>
          <t>Rule 4: campus ProjectStatus Pending + pending-case layer Suspended (On-Hold)</t>
        </is>
      </c>
      <c r="L71" t="n">
        <v>196.02</v>
      </c>
      <c r="M71" t="n">
        <v>4010000</v>
      </c>
      <c r="N71" t="n">
        <v>4010000</v>
      </c>
      <c r="O71" t="n">
        <v>10</v>
      </c>
      <c r="P71" t="inlineStr">
        <is>
          <t>Pending: 10</t>
        </is>
      </c>
      <c r="Q71" t="n">
        <v>4010000</v>
      </c>
      <c r="R71" t="inlineStr">
        <is>
          <t>Brentsville</t>
        </is>
      </c>
      <c r="S71" t="inlineStr">
        <is>
          <t>Yes</t>
        </is>
      </c>
      <c r="T71" t="inlineStr">
        <is>
          <t>M-2</t>
        </is>
      </c>
      <c r="U71" t="inlineStr">
        <is>
          <t>7496-25-7319; 7496-43-8199</t>
        </is>
      </c>
      <c r="V71" t="inlineStr">
        <is>
          <t>8505 NIMBUS PL; 8510 NIMBUS PL; 8525 NIMBUS PL; 8530 NIMBUS PL; 8545 NIMBUS PL; 8550 NIMBUS PL; 8570 NIMBUS PL; 8650 NIMBUS PL; 8670 NIMBUS PL; 8675 NIMBUS PL</t>
        </is>
      </c>
      <c r="W71" t="inlineStr">
        <is>
          <t>Hunter Property 1 (Pending); Hunter Property 10 (Pending); Hunter Property 2 (Pending); Hunter Property 3 (Pending); Hunter Property 4 (Pending); Hunter Property 5 (Pending); Hunter Property 6 (Pending); Hunter Property 7 (Pending); Hunter Property 8 (Pending); Hunter Property 9 (Pending)</t>
        </is>
      </c>
      <c r="Y71" t="inlineStr">
        <is>
          <t>REZ2022-00019 [PRA; Suspended (On-Hold); case number]</t>
        </is>
      </c>
      <c r="AA71" t="inlineStr">
        <is>
          <t>REZ2020-00022 [Rezoning - Non-Residential; Approved; name exact]; REZ2022-00019 [Rezoning - Proffer Amendment; Suspended (On-Hold); case number]; SPR2022-00287 [Site Plan - Final; Pending; GPIN (building parcel)]</t>
        </is>
      </c>
      <c r="AB71" t="inlineStr">
        <is>
          <t>SPR2022-00287 (Pending)</t>
        </is>
      </c>
      <c r="AC71" t="inlineStr">
        <is>
          <t>218df4cf-252f-4eee-8ed5-d54f470e1a3f</t>
        </is>
      </c>
      <c r="AD71" t="inlineStr">
        <is>
          <t>Build_Out_Analysis/10 (campuses); Build_Out_Analysis/9 (buildings); CountyMapper/LandDevelopment/2 (pending cases); ePortal</t>
        </is>
      </c>
      <c r="AE71" t="inlineStr">
        <is>
          <t>https://gisweb.pwcva.gov/arcgis/rest/services/Planning/Build_Out_Analysis/MapServer/10/6?f=html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71" t="inlineStr">
        <is>
          <t>2026-09-25</t>
        </is>
      </c>
    </row>
    <row r="72">
      <c r="A72" t="n">
        <v>71</v>
      </c>
      <c r="B72" t="inlineStr">
        <is>
          <t>Madera Farm</t>
        </is>
      </c>
      <c r="C72" t="n">
        <v>0</v>
      </c>
      <c r="D72" t="inlineStr">
        <is>
          <t>Madera Farm SUP</t>
        </is>
      </c>
      <c r="E72" t="inlineStr">
        <is>
          <t>REZ2025-00007</t>
        </is>
      </c>
      <c r="F72" t="inlineStr">
        <is>
          <t>REZ2025-00007; SUP2027-00002</t>
        </is>
      </c>
      <c r="G72" t="inlineStr">
        <is>
          <t>Pending / Under Review</t>
        </is>
      </c>
      <c r="I72" t="inlineStr">
        <is>
          <t>REZ2025-00007: Pending; SUP2027-00002: Pending</t>
        </is>
      </c>
      <c r="J72" t="inlineStr">
        <is>
          <t>REZ2025-00007: Pending; SUP2027-00002: Pending</t>
        </is>
      </c>
      <c r="K72" t="inlineStr">
        <is>
          <t>ePortal legislative case open (not in campus layer)</t>
        </is>
      </c>
      <c r="L72" t="n">
        <v>229.15</v>
      </c>
      <c r="R72" t="inlineStr">
        <is>
          <t>Brentsville</t>
        </is>
      </c>
      <c r="U72" t="inlineStr">
        <is>
          <t>7493-16-9464; 7493-24-3469</t>
        </is>
      </c>
      <c r="V72" t="inlineStr">
        <is>
          <t>13213 FARMVIEW RD NOKESVILLE VA 20181; 13250 WARRENTON RD NOKESVILLE VA 20181</t>
        </is>
      </c>
      <c r="Y72" t="inlineStr">
        <is>
          <t>REZ2025-00007 [REZ; Pending]; SUP2027-00002 [SUP; Pending]</t>
        </is>
      </c>
      <c r="AA72" t="inlineStr">
        <is>
          <t>REZ2025-00007 [Rezoning - Non-Residential; Pending; applied 2024-09-17]; SUP2027-00002 [Special Use Permit - New Application; Pending; applied 2026-07-31]</t>
        </is>
      </c>
      <c r="AD72" t="inlineStr">
        <is>
          <t>ePortal (EnerGov SelfService); CountyMapper/LandDevelopment/2 (pending cases)</t>
        </is>
      </c>
      <c r="AE72" t="inlineStr">
        <is>
          <t>https://egcss.pwcgov.org/SelfService#/home | https://gisweb.pwcva.gov/arcgis/rest/services/CountyMapper/LandDevelopment/MapServer/2</t>
        </is>
      </c>
      <c r="AG72" t="inlineStr">
        <is>
          <t>Not in campus layer; acreage/GFA/district not in ePortal search fields (blank)</t>
        </is>
      </c>
    </row>
    <row r="73">
      <c r="A73" t="n">
        <v>72</v>
      </c>
      <c r="B73" t="inlineStr">
        <is>
          <t>Project Industry</t>
        </is>
      </c>
      <c r="C73" t="n">
        <v>2</v>
      </c>
      <c r="D73" t="inlineStr">
        <is>
          <t>Project Industry</t>
        </is>
      </c>
      <c r="E73" t="inlineStr">
        <is>
          <t>REZ2025-00003</t>
        </is>
      </c>
      <c r="F73" t="inlineStr">
        <is>
          <t>REZ2025-00003</t>
        </is>
      </c>
      <c r="G73" t="inlineStr">
        <is>
          <t>Pending / Under Review</t>
        </is>
      </c>
      <c r="H73" t="inlineStr">
        <is>
          <t>Pending</t>
        </is>
      </c>
      <c r="I73" t="inlineStr">
        <is>
          <t>Deferred</t>
        </is>
      </c>
      <c r="J73" t="inlineStr">
        <is>
          <t>Deferred</t>
        </is>
      </c>
      <c r="K73" t="inlineStr">
        <is>
          <t>Rule 4: campus ProjectStatus Pending + pending-case layer Deferred</t>
        </is>
      </c>
      <c r="L73" t="n">
        <v>42.2</v>
      </c>
      <c r="M73" t="n">
        <v>643390</v>
      </c>
      <c r="N73" t="n">
        <v>643390</v>
      </c>
      <c r="O73" t="n">
        <v>2</v>
      </c>
      <c r="P73" t="inlineStr">
        <is>
          <t>Pending: 2</t>
        </is>
      </c>
      <c r="Q73" t="n">
        <v>343516</v>
      </c>
      <c r="R73" t="inlineStr">
        <is>
          <t>Brentsville</t>
        </is>
      </c>
      <c r="S73" t="inlineStr">
        <is>
          <t>Yes</t>
        </is>
      </c>
      <c r="T73" t="inlineStr">
        <is>
          <t>M/T</t>
        </is>
      </c>
      <c r="U73" t="inlineStr">
        <is>
          <t>7496-58-0951; 7496-58-4088</t>
        </is>
      </c>
      <c r="V73" t="inlineStr">
        <is>
          <t>8010 INDUSTRIAL PARK CT; 8021 INDUSTRIAL PARK CT</t>
        </is>
      </c>
      <c r="W73" t="inlineStr">
        <is>
          <t>Project Industry A (Pending); Project Industry B (Pending)</t>
        </is>
      </c>
      <c r="Y73" t="inlineStr">
        <is>
          <t>REZ2025-00003 [REZ; Deferred; case number]</t>
        </is>
      </c>
      <c r="AA73" t="inlineStr">
        <is>
          <t>REZ2025-00003 [Rezoning - Non-Residential; Deferred; case number]; SPR2026-00265 [Site Plan - Final; Pending; name exact]</t>
        </is>
      </c>
      <c r="AB73" t="inlineStr">
        <is>
          <t>SPR2026-00265 (Pending)</t>
        </is>
      </c>
      <c r="AC73" t="inlineStr">
        <is>
          <t>71a5c10e-0a22-4286-a5c9-b05bff0d3e5f</t>
        </is>
      </c>
      <c r="AD73" t="inlineStr">
        <is>
          <t>Build_Out_Analysis/10 (campuses); Build_Out_Analysis/9 (buildings); CountyMapper/LandDevelopment/2 (pending cases); ePortal</t>
        </is>
      </c>
      <c r="AE73" t="inlineStr">
        <is>
          <t>https://gisweb.pwcva.gov/arcgis/rest/services/Planning/Build_Out_Analysis/MapServer/10/57?f=html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73" t="inlineStr">
        <is>
          <t>2026-09-25</t>
        </is>
      </c>
    </row>
    <row r="74">
      <c r="A74" t="n">
        <v>73</v>
      </c>
      <c r="B74" t="inlineStr">
        <is>
          <t>Six Towers Industrial Park</t>
        </is>
      </c>
      <c r="C74" t="n">
        <v>2</v>
      </c>
      <c r="D74" t="inlineStr">
        <is>
          <t>Six Towers Industrial Park</t>
        </is>
      </c>
      <c r="E74" t="inlineStr">
        <is>
          <t>REZ2026-00019</t>
        </is>
      </c>
      <c r="F74" t="inlineStr">
        <is>
          <t>REZ2026-00019; REZ2026-00017</t>
        </is>
      </c>
      <c r="G74" t="inlineStr">
        <is>
          <t>Pending / Under Review</t>
        </is>
      </c>
      <c r="H74" t="inlineStr">
        <is>
          <t>Pending</t>
        </is>
      </c>
      <c r="I74" t="inlineStr">
        <is>
          <t>Under Review</t>
        </is>
      </c>
      <c r="J74" t="inlineStr">
        <is>
          <t>Under Review</t>
        </is>
      </c>
      <c r="K74" t="inlineStr">
        <is>
          <t>Rule 4: campus ProjectStatus Pending + pending-case layer Under Review</t>
        </is>
      </c>
      <c r="L74" t="n">
        <v>23.6</v>
      </c>
      <c r="M74" t="n">
        <v>945252</v>
      </c>
      <c r="N74" t="n">
        <v>945252</v>
      </c>
      <c r="O74" t="n">
        <v>2</v>
      </c>
      <c r="P74" t="inlineStr">
        <is>
          <t>Pending: 2</t>
        </is>
      </c>
      <c r="Q74" t="n">
        <v>945252</v>
      </c>
      <c r="R74" t="inlineStr">
        <is>
          <t>Coles</t>
        </is>
      </c>
      <c r="S74" t="inlineStr">
        <is>
          <t>Yes</t>
        </is>
      </c>
      <c r="T74" t="inlineStr">
        <is>
          <t>PBD</t>
        </is>
      </c>
      <c r="U74" t="inlineStr">
        <is>
          <t>7892-50-1385</t>
        </is>
      </c>
      <c r="V74" t="inlineStr">
        <is>
          <t>7830 SIX TOWERS RD</t>
        </is>
      </c>
      <c r="W74" t="inlineStr">
        <is>
          <t>Six Towers 1 (Pending); Six Towers 2 (Pending)</t>
        </is>
      </c>
      <c r="Y74" t="inlineStr">
        <is>
          <t>REZ2026-00019 [REZ; Under Review; case number]</t>
        </is>
      </c>
      <c r="AA74" t="inlineStr">
        <is>
          <t>REZ2026-00017 [Rezoning - Non-Residential; Voided; name exact]; REZ2026-00019 [Rezoning - Mixed Use; Under Review; case number]</t>
        </is>
      </c>
      <c r="AC74" t="inlineStr">
        <is>
          <t>f32568b2-c8f2-4134-815c-9da3cb62a8f1</t>
        </is>
      </c>
      <c r="AD74" t="inlineStr">
        <is>
          <t>Build_Out_Analysis/10 (campuses); Build_Out_Analysis/9 (buildings); CountyMapper/LandDevelopment/2 (pending cases); ePortal</t>
        </is>
      </c>
      <c r="AE74" t="inlineStr">
        <is>
          <t>https://gisweb.pwcva.gov/arcgis/rest/services/Planning/Build_Out_Analysis/MapServer/10/58?f=html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74" t="inlineStr">
        <is>
          <t>2026-09-25</t>
        </is>
      </c>
    </row>
    <row r="75">
      <c r="A75" t="n">
        <v>74</v>
      </c>
      <c r="B75" t="inlineStr">
        <is>
          <t>Southgate South</t>
        </is>
      </c>
      <c r="C75" t="n">
        <v>3</v>
      </c>
      <c r="D75" t="inlineStr">
        <is>
          <t>Southgate South REZ &amp; PRA</t>
        </is>
      </c>
      <c r="E75" t="inlineStr">
        <is>
          <t>REZ2026-00044</t>
        </is>
      </c>
      <c r="F75" t="inlineStr">
        <is>
          <t>REZ2026-00044; SUP2026-00035</t>
        </is>
      </c>
      <c r="G75" t="inlineStr">
        <is>
          <t>Pending / Under Review</t>
        </is>
      </c>
      <c r="H75" t="inlineStr">
        <is>
          <t>Pending</t>
        </is>
      </c>
      <c r="I75" t="inlineStr">
        <is>
          <t>Pending</t>
        </is>
      </c>
      <c r="J75" t="inlineStr">
        <is>
          <t>Pending</t>
        </is>
      </c>
      <c r="K75" t="inlineStr">
        <is>
          <t>Rule 4: campus ProjectStatus Pending + pending-case layer Pending</t>
        </is>
      </c>
      <c r="L75" t="n">
        <v>80.03</v>
      </c>
      <c r="M75" t="n">
        <v>909000</v>
      </c>
      <c r="N75" t="n">
        <v>909000</v>
      </c>
      <c r="O75" t="n">
        <v>3</v>
      </c>
      <c r="P75" t="inlineStr">
        <is>
          <t>Pending: 3</t>
        </is>
      </c>
      <c r="Q75" t="n">
        <v>909000</v>
      </c>
      <c r="R75" t="inlineStr">
        <is>
          <t>Potomac</t>
        </is>
      </c>
      <c r="S75" t="inlineStr">
        <is>
          <t>No</t>
        </is>
      </c>
      <c r="T75" t="inlineStr">
        <is>
          <t>M-2</t>
        </is>
      </c>
      <c r="U75" t="inlineStr">
        <is>
          <t>8190-90-6518</t>
        </is>
      </c>
      <c r="V75" t="inlineStr">
        <is>
          <t>16401 DUMFRIES RD</t>
        </is>
      </c>
      <c r="W75" t="inlineStr">
        <is>
          <t>Southgate South 1 (Pending); Southgate South 2 (Pending); Southgate South 3 (Pending)</t>
        </is>
      </c>
      <c r="Y75" t="inlineStr">
        <is>
          <t>REZ2026-00044 [PRA; Pending; case number]; SUP2026-00035 [SUP; Pending; DC keyword; companion of REZ2026-00044 (by project name)]</t>
        </is>
      </c>
      <c r="AA75" t="inlineStr">
        <is>
          <t>REZ2026-00044 [Rezoning - Non-Residential; Pending; case number]; SUP2026-00035 [Special Use Permit - New Application; Pending; GPIN (building parcel)]</t>
        </is>
      </c>
      <c r="AC75" t="inlineStr">
        <is>
          <t>4f9d38d6-2dd5-44b1-b5c1-cc2aa25e5628</t>
        </is>
      </c>
      <c r="AD75" t="inlineStr">
        <is>
          <t>Build_Out_Analysis/10 (campuses); Build_Out_Analysis/9 (buildings); CountyMapper/LandDevelopment/2 (pending cases); ePortal</t>
        </is>
      </c>
      <c r="AE75" t="inlineStr">
        <is>
          <t>https://gisweb.pwcva.gov/arcgis/rest/services/Planning/Build_Out_Analysis/MapServer/10/132?f=html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75" t="inlineStr">
        <is>
          <t>2026-09-25</t>
        </is>
      </c>
    </row>
    <row r="76">
      <c r="A76" t="n">
        <v>75</v>
      </c>
      <c r="B76" t="inlineStr">
        <is>
          <t>Sudley Manor Drive</t>
        </is>
      </c>
      <c r="C76" t="n">
        <v>1</v>
      </c>
      <c r="D76" t="inlineStr">
        <is>
          <t>Sudley Manor Drive Amazon Data Services</t>
        </is>
      </c>
      <c r="E76" t="inlineStr">
        <is>
          <t>REZ2026-00039</t>
        </is>
      </c>
      <c r="F76" t="inlineStr">
        <is>
          <t>REZ2026-00039; REZ2020-00010; REZ2025-00006</t>
        </is>
      </c>
      <c r="G76" t="inlineStr">
        <is>
          <t>Pending / Under Review</t>
        </is>
      </c>
      <c r="H76" t="inlineStr">
        <is>
          <t>Pending</t>
        </is>
      </c>
      <c r="I76" t="inlineStr">
        <is>
          <t>Pending</t>
        </is>
      </c>
      <c r="J76" t="inlineStr">
        <is>
          <t>Pending</t>
        </is>
      </c>
      <c r="K76" t="inlineStr">
        <is>
          <t>Rule 4: campus ProjectStatus Pending + pending-case layer Pending</t>
        </is>
      </c>
      <c r="L76" t="n">
        <v>34.78</v>
      </c>
      <c r="M76" t="n">
        <v>293236</v>
      </c>
      <c r="N76" t="n">
        <v>293236</v>
      </c>
      <c r="O76" t="n">
        <v>1</v>
      </c>
      <c r="P76" t="inlineStr">
        <is>
          <t>Pending: 1</t>
        </is>
      </c>
      <c r="Q76" t="n">
        <v>293236</v>
      </c>
      <c r="R76" t="inlineStr">
        <is>
          <t>Brentsville</t>
        </is>
      </c>
      <c r="S76" t="inlineStr">
        <is>
          <t>Yes</t>
        </is>
      </c>
      <c r="T76" t="inlineStr">
        <is>
          <t>PBD</t>
        </is>
      </c>
      <c r="V76" t="inlineStr">
        <is>
          <t>11951 SUDLEY MANOR DR MANASSAS, VA 20109</t>
        </is>
      </c>
      <c r="W76" t="inlineStr">
        <is>
          <t>SUDLEY MANOR DRIVE A (Pending)</t>
        </is>
      </c>
      <c r="Y76" t="inlineStr">
        <is>
          <t>REZ2026-00039 [PRA; Pending; case number]</t>
        </is>
      </c>
      <c r="AA76" t="inlineStr">
        <is>
          <t>PLT2023-00071 [Plat Subdivision; Approved; name exact]; REZ2020-00010 [Rezoning - Non-Residential; Approved; case number]; REZ2025-00006 [Rezoning - Non-Residential; Withdrawn; name exact]; REZ2026-00039 [Rezoning - Proffer Amendment; Pending; case number]; SPR2026-00337 [Site Plan - Final; Pending; name exact]</t>
        </is>
      </c>
      <c r="AB76" t="inlineStr">
        <is>
          <t>SPR2026-00337 (Pending)</t>
        </is>
      </c>
      <c r="AC76" t="inlineStr">
        <is>
          <t>0c99ba68-b226-48b7-a340-5974eaf7768b</t>
        </is>
      </c>
      <c r="AD76" t="inlineStr">
        <is>
          <t>Build_Out_Analysis/10 (campuses); Build_Out_Analysis/9 (buildings); CountyMapper/LandDevelopment/2 (pending cases); ePortal</t>
        </is>
      </c>
      <c r="AE76" t="inlineStr">
        <is>
          <t>https://gisweb.pwcva.gov/arcgis/rest/services/Planning/Build_Out_Analysis/MapServer/10/112?f=html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76" t="inlineStr">
        <is>
          <t>2026-09-25</t>
        </is>
      </c>
    </row>
    <row r="77">
      <c r="A77" t="n">
        <v>76</v>
      </c>
      <c r="B77" t="inlineStr">
        <is>
          <t>University Business Park</t>
        </is>
      </c>
      <c r="C77" t="n">
        <v>2</v>
      </c>
      <c r="D77" t="inlineStr">
        <is>
          <t>University Business Park</t>
        </is>
      </c>
      <c r="E77" t="inlineStr">
        <is>
          <t>REZ2023-00019</t>
        </is>
      </c>
      <c r="F77" t="inlineStr">
        <is>
          <t>REZ2023-00019; REZ1958-0021</t>
        </is>
      </c>
      <c r="G77" t="inlineStr">
        <is>
          <t>Pending / Under Review</t>
        </is>
      </c>
      <c r="H77" t="inlineStr">
        <is>
          <t>Pending</t>
        </is>
      </c>
      <c r="I77" t="inlineStr">
        <is>
          <t>Pending</t>
        </is>
      </c>
      <c r="J77" t="inlineStr">
        <is>
          <t>Pending</t>
        </is>
      </c>
      <c r="K77" t="inlineStr">
        <is>
          <t>Rule 4: campus ProjectStatus Pending + pending-case layer Pending</t>
        </is>
      </c>
      <c r="L77" t="n">
        <v>117.21</v>
      </c>
      <c r="M77" t="n">
        <v>3800000</v>
      </c>
      <c r="N77" t="n">
        <v>3800000</v>
      </c>
      <c r="O77" t="n">
        <v>2</v>
      </c>
      <c r="P77" t="inlineStr">
        <is>
          <t>Pending: 2</t>
        </is>
      </c>
      <c r="Q77" t="n">
        <v>770200</v>
      </c>
      <c r="R77" t="inlineStr">
        <is>
          <t>Brentsville</t>
        </is>
      </c>
      <c r="S77" t="inlineStr">
        <is>
          <t>Yes</t>
        </is>
      </c>
      <c r="T77" t="inlineStr">
        <is>
          <t>M-1</t>
        </is>
      </c>
      <c r="U77" t="inlineStr">
        <is>
          <t>7497-43-7416</t>
        </is>
      </c>
      <c r="V77" t="inlineStr">
        <is>
          <t>13490 UNIVERSITY BLVD</t>
        </is>
      </c>
      <c r="W77" t="inlineStr">
        <is>
          <t>Microsoft Azure MNZ07 (Pending); Microsoft Azure MNZ08 (Pending)</t>
        </is>
      </c>
      <c r="Y77" t="inlineStr">
        <is>
          <t>REZ2023-00019 [REZ; Pending; case number]</t>
        </is>
      </c>
      <c r="AA77" t="inlineStr">
        <is>
          <t>REZ2023-00019 [Rezoning - Non-Residential; Pending; case number]; SPR2023-00349 [Site Plan - Final; Inactive; GPIN (building parcel)]; SPR2026-00377 [Site Plan - Final; Pending; GPIN (building parcel)]</t>
        </is>
      </c>
      <c r="AB77" t="inlineStr">
        <is>
          <t>SPR2026-00377 (Pending)</t>
        </is>
      </c>
      <c r="AC77" t="inlineStr">
        <is>
          <t>dba835c0-d92e-4f81-aca7-df3546eddf60</t>
        </is>
      </c>
      <c r="AD77" t="inlineStr">
        <is>
          <t>Build_Out_Analysis/10 (campuses); Build_Out_Analysis/9 (buildings); CountyMapper/LandDevelopment/2 (pending cases); ePortal</t>
        </is>
      </c>
      <c r="AE77" t="inlineStr">
        <is>
          <t>https://gisweb.pwcva.gov/arcgis/rest/services/Planning/Build_Out_Analysis/MapServer/10/9?f=html | https://gisweb.pwcva.gov/arcgis/rest/services/Planning/Build_Out_Analysis/MapServer/9/query?where=GPIN IS NOT NULL&amp;outFields=*&amp;f=html (buildings joined spatially) | https://gisweb.pwcva.gov/arcgis/rest/services/CountyMapper/LandDevelopment/MapServer/2 | https://egcss.pwcgov.org/SelfService#/home</t>
        </is>
      </c>
      <c r="AF77" t="inlineStr">
        <is>
          <t>2026-09-25</t>
        </is>
      </c>
    </row>
    <row r="78">
      <c r="A78" t="n">
        <v>77</v>
      </c>
      <c r="B78" t="inlineStr">
        <is>
          <t>Project Mango Phase 4</t>
        </is>
      </c>
      <c r="C78" t="n">
        <v>0</v>
      </c>
      <c r="D78" t="inlineStr">
        <is>
          <t>PROJECT MANGO PHASE 4</t>
        </is>
      </c>
      <c r="E78" t="inlineStr">
        <is>
          <t>SPR2026-00368</t>
        </is>
      </c>
      <c r="F78" t="inlineStr">
        <is>
          <t>SPR2026-00368; SPR2027-00055</t>
        </is>
      </c>
      <c r="G78" t="inlineStr">
        <is>
          <t>In Planning Office (site plan in review)</t>
        </is>
      </c>
      <c r="J78" t="inlineStr">
        <is>
          <t>SPR2026-00368: Pending; SPR2027-00055: Pending</t>
        </is>
      </c>
      <c r="K78" t="inlineStr">
        <is>
          <t>Rule 5: ePortal site plan in review, no campus-layer match</t>
        </is>
      </c>
      <c r="U78" t="inlineStr">
        <is>
          <t>7496-47-2505</t>
        </is>
      </c>
      <c r="V78" t="inlineStr">
        <is>
          <t>12998 ROLLINS FORD RD BRISTOW VA 20136; 13001 ROLLINS FORD RD BRISTOW VA 20136</t>
        </is>
      </c>
      <c r="AA78" t="inlineStr">
        <is>
          <t>SPR2026-00368 [Site Plan - Final; Pending; applied 2026-05-27]; SPR2027-00055 [Site Plan - Early Grading Plan; Pending; applied 2026-08-13]</t>
        </is>
      </c>
      <c r="AB78" t="inlineStr">
        <is>
          <t>SPR2026-00368 (Pending); SPR2027-00055 (Pending)</t>
        </is>
      </c>
      <c r="AD78" t="inlineStr">
        <is>
          <t>ePortal (EnerGov SelfService)</t>
        </is>
      </c>
      <c r="AE78" t="inlineStr">
        <is>
          <t>https://egcss.pwcgov.org/SelfService#/home</t>
        </is>
      </c>
      <c r="AG78" t="inlineStr">
        <is>
          <t>Not in campus layer; acreage/GFA/district not in ePortal search fields (blank)</t>
        </is>
      </c>
    </row>
    <row r="79">
      <c r="A79" t="n">
        <v>78</v>
      </c>
      <c r="B79" t="inlineStr">
        <is>
          <t>Redstone Tech. Park South (site plan SPR2026-00246)</t>
        </is>
      </c>
      <c r="C79" t="n">
        <v>0</v>
      </c>
      <c r="D79" t="inlineStr">
        <is>
          <t>Redstone Tech. Park South (site plan SPR2026-00246)</t>
        </is>
      </c>
      <c r="E79" t="inlineStr">
        <is>
          <t>SPR2026-00246</t>
        </is>
      </c>
      <c r="F79" t="inlineStr">
        <is>
          <t>SPR2026-00246</t>
        </is>
      </c>
      <c r="G79" t="inlineStr">
        <is>
          <t>In Planning Office (site plan in review)</t>
        </is>
      </c>
      <c r="J79" t="inlineStr">
        <is>
          <t>SPR2026-00246: Pending</t>
        </is>
      </c>
      <c r="K79" t="inlineStr">
        <is>
          <t>Rule 5: ePortal site plan in review, no campus-layer match</t>
        </is>
      </c>
      <c r="U79" t="inlineStr">
        <is>
          <t>7595-78-9620</t>
        </is>
      </c>
      <c r="V79" t="inlineStr">
        <is>
          <t>9502 HORNBAKER RD MANASSAS VA 20109</t>
        </is>
      </c>
      <c r="AA79" t="inlineStr">
        <is>
          <t>SPR2026-00246 [Site Plan - Final; Pending; applied 2026-02-10]</t>
        </is>
      </c>
      <c r="AB79" t="inlineStr">
        <is>
          <t>SPR2026-00246 (Pending)</t>
        </is>
      </c>
      <c r="AD79" t="inlineStr">
        <is>
          <t>ePortal (EnerGov SelfService)</t>
        </is>
      </c>
      <c r="AE79" t="inlineStr">
        <is>
          <t>https://egcss.pwcgov.org/SelfService#/home</t>
        </is>
      </c>
      <c r="AG79" t="inlineStr">
        <is>
          <t>Not in campus layer; acreage/GFA/district not in ePortal search fields (blank)</t>
        </is>
      </c>
    </row>
    <row r="80">
      <c r="A80" t="n">
        <v>79</v>
      </c>
      <c r="B80" t="inlineStr">
        <is>
          <t>Bristow Campus</t>
        </is>
      </c>
      <c r="C80" t="n">
        <v>0</v>
      </c>
      <c r="D80" t="inlineStr">
        <is>
          <t>Bristow Campus</t>
        </is>
      </c>
      <c r="E80" t="inlineStr">
        <is>
          <t>REZ2022-00030</t>
        </is>
      </c>
      <c r="F80" t="inlineStr">
        <is>
          <t>REZ2022-00030; SUP2022-00034</t>
        </is>
      </c>
      <c r="G80" t="inlineStr">
        <is>
          <t>Void / Withdrawn / Denied</t>
        </is>
      </c>
      <c r="J80" t="inlineStr">
        <is>
          <t>REZ2022-00030: Denied; SUP2022-00034: Denied</t>
        </is>
      </c>
      <c r="K80" t="inlineStr">
        <is>
          <t>All ePortal legislative cases terminal: Denied</t>
        </is>
      </c>
      <c r="U80" t="inlineStr">
        <is>
          <t>7595-63-4137</t>
        </is>
      </c>
      <c r="V80" t="inlineStr">
        <is>
          <t>11480 NOKESVILLE RD BRISTOW VA 20136</t>
        </is>
      </c>
      <c r="AA80" t="inlineStr">
        <is>
          <t>REZ2022-00030 [Rezoning - Non-Residential; Denied; applied 2022-04-21]; SUP2022-00034 [Special Use Permit - New Application; Denied; applied 2022-04-21]</t>
        </is>
      </c>
      <c r="AD80" t="inlineStr">
        <is>
          <t>ePortal (EnerGov SelfService)</t>
        </is>
      </c>
      <c r="AE80" t="inlineStr">
        <is>
          <t>https://egcss.pwcgov.org/SelfService#/home</t>
        </is>
      </c>
      <c r="AG80" t="inlineStr">
        <is>
          <t>Not in campus layer; acreage/GFA/district not in ePortal search fields (blank)</t>
        </is>
      </c>
    </row>
    <row r="81">
      <c r="A81" t="n">
        <v>80</v>
      </c>
      <c r="B81" t="inlineStr">
        <is>
          <t>Compass Data Centers</t>
        </is>
      </c>
      <c r="C81" t="n">
        <v>17</v>
      </c>
      <c r="D81" t="inlineStr">
        <is>
          <t>Compass Data Centers</t>
        </is>
      </c>
      <c r="E81" t="inlineStr">
        <is>
          <t>REZ2022-00036</t>
        </is>
      </c>
      <c r="F81" t="inlineStr">
        <is>
          <t>REZ2022-00036</t>
        </is>
      </c>
      <c r="G81" t="inlineStr">
        <is>
          <t>Void / Withdrawn / Denied</t>
        </is>
      </c>
      <c r="H81" t="inlineStr">
        <is>
          <t>Pending</t>
        </is>
      </c>
      <c r="I81" t="inlineStr">
        <is>
          <t>Suspended (On-Hold)</t>
        </is>
      </c>
      <c r="K81" t="inlineStr">
        <is>
          <t>Override: Digital Gateway/Compass REZ voided (plan §5.4; user instruction); county pending-case layer still shows Suspended (On-Hold); building status shown as Denied (user: Digital Gateway denied); original county label kept in Buildings.county_layer_status</t>
        </is>
      </c>
      <c r="L81" t="n">
        <v>884.1900000000001</v>
      </c>
      <c r="M81" t="n">
        <v>11555200</v>
      </c>
      <c r="N81" t="n">
        <v>11555200</v>
      </c>
      <c r="O81" t="n">
        <v>17</v>
      </c>
      <c r="P81" t="inlineStr">
        <is>
          <t>Denied: 17</t>
        </is>
      </c>
      <c r="Q81" t="n">
        <v>11555206</v>
      </c>
      <c r="R81" t="inlineStr">
        <is>
          <t>Gainesville</t>
        </is>
      </c>
      <c r="S81" t="inlineStr">
        <is>
          <t>No</t>
        </is>
      </c>
      <c r="T81" t="inlineStr">
        <is>
          <t>PBD</t>
        </is>
      </c>
      <c r="W81" t="inlineStr">
        <is>
          <t>Compass Data Centers (Denied); Compass Data Centers (Denied); Compass Data Centers (Denied); Compass Data Centers (Denied); Compass Data Centers (Denied); Compass Data Centers (Denied); Compass Data Centers (Denied); Compass Data Centers (Denied); Compass Data Centers (Denied); Compass Data Centers (Denied); Compass Data Centers (Denied); Compass Data Centers (Denied); Compass Data Centers (Denied); Compass Data Centers (Denied); Compass Data Centers (Denied); Compass Data Centers (Denied); Compass Data Centers (Denied)</t>
        </is>
      </c>
      <c r="Y81" t="inlineStr">
        <is>
          <t>REZ2022-00036 [REZ; Suspended (On-Hold); case number]</t>
        </is>
      </c>
      <c r="AC81" t="inlineStr">
        <is>
          <t>a3bccddf-fb99-4d00-9e2b-41916f8455aa</t>
        </is>
      </c>
      <c r="AD81" t="inlineStr">
        <is>
          <t>Build_Out_Analysis/10 (campuses); Build_Out_Analysis/9 (buildings); CountyMapper/LandDevelopment/2 (pending cases)</t>
        </is>
      </c>
      <c r="AE81" t="inlineStr">
        <is>
          <t>https://gisweb.pwcva.gov/arcgis/rest/services/Planning/Build_Out_Analysis/MapServer/10/172?f=html | https://gisweb.pwcva.gov/arcgis/rest/services/Planning/Build_Out_Analysis/MapServer/9/query?where=GPIN IS NOT NULL&amp;outFields=*&amp;f=html (buildings joined spatially) | https://gisweb.pwcva.gov/arcgis/rest/services/CountyMapper/LandDevelopment/MapServer/2</t>
        </is>
      </c>
      <c r="AF81" t="inlineStr">
        <is>
          <t>2026-09-25</t>
        </is>
      </c>
    </row>
    <row r="82">
      <c r="A82" t="n">
        <v>81</v>
      </c>
      <c r="B82" t="inlineStr">
        <is>
          <t>Compton Property</t>
        </is>
      </c>
      <c r="C82" t="n">
        <v>0</v>
      </c>
      <c r="D82" t="inlineStr">
        <is>
          <t>Compton Property</t>
        </is>
      </c>
      <c r="E82" t="inlineStr">
        <is>
          <t>CPA2021-00005</t>
        </is>
      </c>
      <c r="F82" t="inlineStr">
        <is>
          <t>CPA2021-00005; REZ2021-00019; SUP2021-00030</t>
        </is>
      </c>
      <c r="G82" t="inlineStr">
        <is>
          <t>Void / Withdrawn / Denied</t>
        </is>
      </c>
      <c r="J82" t="inlineStr">
        <is>
          <t>CPA2021-00005: Dismissed; REZ2021-00019: Dismissed; SUP2021-00030: Dismissed</t>
        </is>
      </c>
      <c r="K82" t="inlineStr">
        <is>
          <t>All ePortal legislative cases terminal: Dismissed</t>
        </is>
      </c>
      <c r="U82" t="inlineStr">
        <is>
          <t>7696-56-8064</t>
        </is>
      </c>
      <c r="V82" t="inlineStr">
        <is>
          <t>8750 RIXLEW LN MANASSAS VA 20109</t>
        </is>
      </c>
      <c r="AA82" t="inlineStr">
        <is>
          <t>CPA2021-00005 [Comp Plan Amendment (Concurrent with Rezoning); Dismissed; applied 2021-05-27]; REZ2021-00019 [Rezoning - Non-Residential; Dismissed; applied 2021-05-24]; SUP2021-00030 [Special Use Permit - New Application; Dismissed; applied 2021-05-24]</t>
        </is>
      </c>
      <c r="AD82" t="inlineStr">
        <is>
          <t>ePortal (EnerGov SelfService)</t>
        </is>
      </c>
      <c r="AE82" t="inlineStr">
        <is>
          <t>https://egcss.pwcgov.org/SelfService#/home</t>
        </is>
      </c>
      <c r="AG82" t="inlineStr">
        <is>
          <t>Not in campus layer; acreage/GFA/district not in ePortal search fields (blank)</t>
        </is>
      </c>
    </row>
    <row r="83">
      <c r="A83" t="n">
        <v>82</v>
      </c>
      <c r="B83" t="inlineStr">
        <is>
          <t>Digital Gateway North</t>
        </is>
      </c>
      <c r="C83" t="n">
        <v>12</v>
      </c>
      <c r="D83" t="inlineStr">
        <is>
          <t>Digital Gateway North</t>
        </is>
      </c>
      <c r="E83" t="inlineStr">
        <is>
          <t>REZ2022-00032</t>
        </is>
      </c>
      <c r="F83" t="inlineStr">
        <is>
          <t>REZ2022-00032</t>
        </is>
      </c>
      <c r="G83" t="inlineStr">
        <is>
          <t>Denied</t>
        </is>
      </c>
      <c r="H83" t="inlineStr">
        <is>
          <t>Pending</t>
        </is>
      </c>
      <c r="I83" t="inlineStr">
        <is>
          <t>Suspended (On-Hold)</t>
        </is>
      </c>
      <c r="K83" t="inlineStr">
        <is>
          <t>Override: Digital Gateway/Compass REZ voided (plan §5.4; user instruction); county pending-case layer still shows Suspended (On-Hold); building status shown as Denied (user: Digital Gateway denied); original county label kept in Buildings.county_layer_status</t>
        </is>
      </c>
      <c r="L83" t="n">
        <v>534.08</v>
      </c>
      <c r="M83" t="n">
        <v>7000000</v>
      </c>
      <c r="N83" t="n">
        <v>7000000</v>
      </c>
      <c r="O83" t="n">
        <v>12</v>
      </c>
      <c r="P83" t="inlineStr">
        <is>
          <t>Denied: 12</t>
        </is>
      </c>
      <c r="Q83" t="n">
        <v>6999996</v>
      </c>
      <c r="R83" t="inlineStr">
        <is>
          <t>Gainesville</t>
        </is>
      </c>
      <c r="S83" t="inlineStr">
        <is>
          <t>No</t>
        </is>
      </c>
      <c r="T83" t="inlineStr">
        <is>
          <t>PBD</t>
        </is>
      </c>
      <c r="W83" t="inlineStr">
        <is>
          <t>Digital Gateway North (Denied); Digital Gateway North (Denied); Digital Gateway North (Denied); Digital Gateway North (Denied); Digital Gateway North (Denied); Digital Gateway North (Denied); Digital Gateway North (Denied); Digital Gateway North (Denied); Digital Gateway North (Denied); Digital Gateway North (Denied); Digital Gateway North (Denied); Digital Gateway North (Denied)</t>
        </is>
      </c>
      <c r="Y83" t="inlineStr">
        <is>
          <t>REZ2022-00032 [REZ; Suspended (On-Hold); case number]</t>
        </is>
      </c>
      <c r="AC83" t="inlineStr">
        <is>
          <t>b0fcafed-a7f4-4ea1-8f83-e71a94ebf4f9</t>
        </is>
      </c>
      <c r="AD83" t="inlineStr">
        <is>
          <t>Build_Out_Analysis/10 (campuses); Build_Out_Analysis/9 (buildings); CountyMapper/LandDevelopment/2 (pending cases)</t>
        </is>
      </c>
      <c r="AE83" t="inlineStr">
        <is>
          <t>https://gisweb.pwcva.gov/arcgis/rest/services/Planning/Build_Out_Analysis/MapServer/10/138?f=html | https://gisweb.pwcva.gov/arcgis/rest/services/Planning/Build_Out_Analysis/MapServer/9/query?where=GPIN IS NOT NULL&amp;outFields=*&amp;f=html (buildings joined spatially) | https://gisweb.pwcva.gov/arcgis/rest/services/CountyMapper/LandDevelopment/MapServer/2</t>
        </is>
      </c>
      <c r="AF83" t="inlineStr">
        <is>
          <t>2026-09-25</t>
        </is>
      </c>
    </row>
    <row r="84">
      <c r="A84" t="n">
        <v>83</v>
      </c>
      <c r="B84" t="inlineStr">
        <is>
          <t>Digital Gateway South</t>
        </is>
      </c>
      <c r="C84" t="n">
        <v>8</v>
      </c>
      <c r="D84" t="inlineStr">
        <is>
          <t>Digital Gateway South</t>
        </is>
      </c>
      <c r="E84" t="inlineStr">
        <is>
          <t>REZ2022-00033</t>
        </is>
      </c>
      <c r="F84" t="inlineStr">
        <is>
          <t>REZ2022-00033</t>
        </is>
      </c>
      <c r="G84" t="inlineStr">
        <is>
          <t>Denied</t>
        </is>
      </c>
      <c r="H84" t="inlineStr">
        <is>
          <t>Pending</t>
        </is>
      </c>
      <c r="I84" t="inlineStr">
        <is>
          <t>Suspended (On-Hold)</t>
        </is>
      </c>
      <c r="K84" t="inlineStr">
        <is>
          <t>Override: Digital Gateway/Compass REZ voided (plan §5.4; user instruction); county pending-case layer still shows Suspended (On-Hold); building status shown as Denied (user: Digital Gateway denied); original county label kept in Buildings.county_layer_status</t>
        </is>
      </c>
      <c r="L84" t="n">
        <v>341.5</v>
      </c>
      <c r="M84" t="n">
        <v>3700000</v>
      </c>
      <c r="N84" t="n">
        <v>3700000</v>
      </c>
      <c r="O84" t="n">
        <v>8</v>
      </c>
      <c r="P84" t="inlineStr">
        <is>
          <t>Denied: 8</t>
        </is>
      </c>
      <c r="Q84" t="n">
        <v>3700000</v>
      </c>
      <c r="R84" t="inlineStr">
        <is>
          <t>Gainesville</t>
        </is>
      </c>
      <c r="S84" t="inlineStr">
        <is>
          <t>No</t>
        </is>
      </c>
      <c r="T84" t="inlineStr">
        <is>
          <t>PBD</t>
        </is>
      </c>
      <c r="W84" t="inlineStr">
        <is>
          <t>Digital Gateway South (Denied); Digital Gateway South (Denied); Digital Gateway South (Denied); Digital Gateway South (Denied); Digital Gateway South (Denied); Digital Gateway South (Denied); Digital Gateway South (Denied); Digital Gateway South (Denied)</t>
        </is>
      </c>
      <c r="Y84" t="inlineStr">
        <is>
          <t>REZ2022-00033 [REZ; Suspended (On-Hold); case number]</t>
        </is>
      </c>
      <c r="AC84" t="inlineStr">
        <is>
          <t>1737b24a-1664-4972-b370-c2436b052e63</t>
        </is>
      </c>
      <c r="AD84" t="inlineStr">
        <is>
          <t>Build_Out_Analysis/10 (campuses); Build_Out_Analysis/9 (buildings); CountyMapper/LandDevelopment/2 (pending cases)</t>
        </is>
      </c>
      <c r="AE84" t="inlineStr">
        <is>
          <t>https://gisweb.pwcva.gov/arcgis/rest/services/Planning/Build_Out_Analysis/MapServer/10/156?f=html | https://gisweb.pwcva.gov/arcgis/rest/services/Planning/Build_Out_Analysis/MapServer/9/query?where=GPIN IS NOT NULL&amp;outFields=*&amp;f=html (buildings joined spatially) | https://gisweb.pwcva.gov/arcgis/rest/services/CountyMapper/LandDevelopment/MapServer/2</t>
        </is>
      </c>
      <c r="AF84" t="inlineStr">
        <is>
          <t>2026-09-25</t>
        </is>
      </c>
    </row>
    <row r="85">
      <c r="A85" t="n">
        <v>84</v>
      </c>
      <c r="B85" t="inlineStr">
        <is>
          <t>Dulles South Innovation Center</t>
        </is>
      </c>
      <c r="C85" t="n">
        <v>0</v>
      </c>
      <c r="D85" t="inlineStr">
        <is>
          <t>Dulles South Innovation Center</t>
        </is>
      </c>
      <c r="E85" t="inlineStr">
        <is>
          <t>CPA2026-00012</t>
        </is>
      </c>
      <c r="F85" t="inlineStr">
        <is>
          <t>CPA2026-00012</t>
        </is>
      </c>
      <c r="G85" t="inlineStr">
        <is>
          <t>Void / Withdrawn / Denied</t>
        </is>
      </c>
      <c r="J85" t="inlineStr">
        <is>
          <t>CPA2026-00012: Denied</t>
        </is>
      </c>
      <c r="K85" t="inlineStr">
        <is>
          <t>All ePortal legislative cases terminal: Denied</t>
        </is>
      </c>
      <c r="U85" t="inlineStr">
        <is>
          <t>7400-76-0897</t>
        </is>
      </c>
      <c r="V85" t="inlineStr">
        <is>
          <t>3460 SANDERS LN CATHARPIN VA 20143</t>
        </is>
      </c>
      <c r="AA85" t="inlineStr">
        <is>
          <t>CPA2026-00012 [Comp Plan Amendment (Concurrent with Rezoning); Denied; applied 2026-02-24]</t>
        </is>
      </c>
      <c r="AD85" t="inlineStr">
        <is>
          <t>ePortal (EnerGov SelfService)</t>
        </is>
      </c>
      <c r="AE85" t="inlineStr">
        <is>
          <t>https://egcss.pwcgov.org/SelfService#/home</t>
        </is>
      </c>
      <c r="AG85" t="inlineStr">
        <is>
          <t>Not in campus layer; acreage/GFA/district not in ePortal search fields (blank)</t>
        </is>
      </c>
    </row>
    <row r="86">
      <c r="A86" t="n">
        <v>85</v>
      </c>
      <c r="B86" t="inlineStr">
        <is>
          <t>Gainesville Associates Data Center FAR</t>
        </is>
      </c>
      <c r="C86" t="n">
        <v>0</v>
      </c>
      <c r="D86" t="inlineStr">
        <is>
          <t>Gainesville Associates Data Center FAR</t>
        </is>
      </c>
      <c r="E86" t="inlineStr">
        <is>
          <t>SUP2019-00041</t>
        </is>
      </c>
      <c r="F86" t="inlineStr">
        <is>
          <t>SUP2019-00041</t>
        </is>
      </c>
      <c r="G86" t="inlineStr">
        <is>
          <t>Void / Withdrawn / Denied</t>
        </is>
      </c>
      <c r="J86" t="inlineStr">
        <is>
          <t>SUP2019-00041: Withdrawn</t>
        </is>
      </c>
      <c r="K86" t="inlineStr">
        <is>
          <t>All ePortal legislative cases terminal: Withdrawn</t>
        </is>
      </c>
      <c r="U86" t="inlineStr">
        <is>
          <t>7497-42-4359</t>
        </is>
      </c>
      <c r="V86" t="inlineStr">
        <is>
          <t>5945 WELLINGTON RD GAINESVILLE VA 20155</t>
        </is>
      </c>
      <c r="AA86" t="inlineStr">
        <is>
          <t>SUP2019-00041 [Special Use Permit - New Application; Withdrawn; applied 2019-02-28]</t>
        </is>
      </c>
      <c r="AD86" t="inlineStr">
        <is>
          <t>ePortal (EnerGov SelfService)</t>
        </is>
      </c>
      <c r="AE86" t="inlineStr">
        <is>
          <t>https://egcss.pwcgov.org/SelfService#/home</t>
        </is>
      </c>
      <c r="AG86" t="inlineStr">
        <is>
          <t>Not in campus layer; acreage/GFA/district not in ePortal search fields (blank)</t>
        </is>
      </c>
    </row>
    <row r="87">
      <c r="A87" t="n">
        <v>86</v>
      </c>
      <c r="B87" t="inlineStr">
        <is>
          <t>John Marshall Commons Technology Park</t>
        </is>
      </c>
      <c r="C87" t="n">
        <v>0</v>
      </c>
      <c r="D87" t="inlineStr">
        <is>
          <t>John Marshall Commons Technology Park</t>
        </is>
      </c>
      <c r="E87" t="inlineStr">
        <is>
          <t>REZ2021-00003</t>
        </is>
      </c>
      <c r="F87" t="inlineStr">
        <is>
          <t>REZ2021-00003; SUP2021-00004</t>
        </is>
      </c>
      <c r="G87" t="inlineStr">
        <is>
          <t>Void / Withdrawn / Denied</t>
        </is>
      </c>
      <c r="J87" t="inlineStr">
        <is>
          <t>REZ2021-00003: Withdrawn; SUP2021-00004: Withdrawn</t>
        </is>
      </c>
      <c r="K87" t="inlineStr">
        <is>
          <t>All ePortal legislative cases terminal: Withdrawn</t>
        </is>
      </c>
      <c r="U87" t="inlineStr">
        <is>
          <t>7397-46-4281</t>
        </is>
      </c>
      <c r="V87" t="inlineStr">
        <is>
          <t>14392 JOHN MARSHALL HWY GAINESVILLE VA 20155</t>
        </is>
      </c>
      <c r="AA87" t="inlineStr">
        <is>
          <t>REZ2021-00003 [Rezoning - Non-Residential; Withdrawn; applied 2020-07-31]; SUP2021-00004 [Special Use Permit - New Application; Withdrawn; applied 2020-07-31]</t>
        </is>
      </c>
      <c r="AD87" t="inlineStr">
        <is>
          <t>ePortal (EnerGov SelfService)</t>
        </is>
      </c>
      <c r="AE87" t="inlineStr">
        <is>
          <t>https://egcss.pwcgov.org/SelfService#/home</t>
        </is>
      </c>
      <c r="AG87" t="inlineStr">
        <is>
          <t>Not in campus layer; acreage/GFA/district not in ePortal search fields (blank)</t>
        </is>
      </c>
    </row>
    <row r="88">
      <c r="A88" t="n">
        <v>87</v>
      </c>
      <c r="B88" t="inlineStr">
        <is>
          <t>Potomac Technology Park</t>
        </is>
      </c>
      <c r="C88" t="n">
        <v>0</v>
      </c>
      <c r="D88" t="inlineStr">
        <is>
          <t>Potomac Technology Park</t>
        </is>
      </c>
      <c r="E88" t="inlineStr">
        <is>
          <t>CPA2024-00002</t>
        </is>
      </c>
      <c r="F88" t="inlineStr">
        <is>
          <t>CPA2024-00002; REZ2022-00015; SUP2022-00016</t>
        </is>
      </c>
      <c r="G88" t="inlineStr">
        <is>
          <t>Void / Withdrawn / Denied</t>
        </is>
      </c>
      <c r="J88" t="inlineStr">
        <is>
          <t>CPA2024-00002: Withdrawn; REZ2022-00015: Withdrawn; SUP2022-00016: Withdrawn</t>
        </is>
      </c>
      <c r="K88" t="inlineStr">
        <is>
          <t>All ePortal legislative cases terminal: Withdrawn</t>
        </is>
      </c>
      <c r="U88" t="inlineStr">
        <is>
          <t>7991-04-7237</t>
        </is>
      </c>
      <c r="V88" t="inlineStr">
        <is>
          <t>14854 DUMFRIES RD MANASSAS VA 20112</t>
        </is>
      </c>
      <c r="AA88" t="inlineStr">
        <is>
          <t>CPA2024-00002 [Comp Plan Amendment (Concurrent with Rezoning); Withdrawn; applied 2024-01-24]; REZ2022-00015 [Rezoning - Non-Residential; Withdrawn; applied 2022-01-06]; SUP2022-00016 [Special Use Permit - New Application; Withdrawn; applied 2022-01-06]</t>
        </is>
      </c>
      <c r="AD88" t="inlineStr">
        <is>
          <t>ePortal (EnerGov SelfService)</t>
        </is>
      </c>
      <c r="AE88" t="inlineStr">
        <is>
          <t>https://egcss.pwcgov.org/SelfService#/home</t>
        </is>
      </c>
      <c r="AG88" t="inlineStr">
        <is>
          <t>Not in campus layer; acreage/GFA/district not in ePortal search fields (blank)</t>
        </is>
      </c>
    </row>
    <row r="89">
      <c r="A89" t="n">
        <v>88</v>
      </c>
      <c r="B89" t="inlineStr">
        <is>
          <t>Quantico Ridge</t>
        </is>
      </c>
      <c r="C89" t="n">
        <v>0</v>
      </c>
      <c r="D89" t="inlineStr">
        <is>
          <t>Quantico Ridge</t>
        </is>
      </c>
      <c r="E89" t="inlineStr">
        <is>
          <t>REZ2026-00038</t>
        </is>
      </c>
      <c r="F89" t="inlineStr">
        <is>
          <t>REZ2026-00038; SUP2026-00029</t>
        </is>
      </c>
      <c r="G89" t="inlineStr">
        <is>
          <t>Void / Withdrawn / Denied</t>
        </is>
      </c>
      <c r="J89" t="inlineStr">
        <is>
          <t>REZ2026-00038: Withdrawn; SUP2026-00029: Withdrawn</t>
        </is>
      </c>
      <c r="K89" t="inlineStr">
        <is>
          <t>All ePortal legislative cases terminal: Withdrawn</t>
        </is>
      </c>
      <c r="U89" t="inlineStr">
        <is>
          <t>7991-04-7237</t>
        </is>
      </c>
      <c r="V89" t="inlineStr">
        <is>
          <t>14854 DUMFRIES RD MANASSAS VA 20112</t>
        </is>
      </c>
      <c r="AA89" t="inlineStr">
        <is>
          <t>REZ2026-00038 [Rezoning - Mixed Use; Withdrawn; applied 2026-04-28]; SUP2026-00029 [Special Use Permit - New Application; Withdrawn; applied 2026-04-28]</t>
        </is>
      </c>
      <c r="AD89" t="inlineStr">
        <is>
          <t>ePortal (EnerGov SelfService)</t>
        </is>
      </c>
      <c r="AE89" t="inlineStr">
        <is>
          <t>https://egcss.pwcgov.org/SelfService#/home</t>
        </is>
      </c>
      <c r="AG89" t="inlineStr">
        <is>
          <t>Not in campus layer; acreage/GFA/district not in ePortal search fields (blank)</t>
        </is>
      </c>
    </row>
  </sheetData>
  <autoFilter ref="A1:AF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17" max="17"/>
  </cols>
  <sheetData>
    <row r="1">
      <c r="A1" s="1" t="inlineStr">
        <is>
          <t>No.</t>
        </is>
      </c>
      <c r="B1" s="1" t="inlineStr">
        <is>
          <t>BuildingName</t>
        </is>
      </c>
      <c r="C1" s="1" t="inlineStr">
        <is>
          <t>BuildingStatus</t>
        </is>
      </c>
      <c r="D1" s="1" t="inlineStr">
        <is>
          <t>campus_name</t>
        </is>
      </c>
      <c r="E1" s="1" t="inlineStr">
        <is>
          <t>campus_case</t>
        </is>
      </c>
      <c r="F1" s="1" t="inlineStr">
        <is>
          <t>GPIN</t>
        </is>
      </c>
      <c r="G1" s="1" t="inlineStr">
        <is>
          <t>Address</t>
        </is>
      </c>
      <c r="H1" s="1" t="inlineStr">
        <is>
          <t>GFA</t>
        </is>
      </c>
      <c r="I1" s="1" t="inlineStr">
        <is>
          <t>YearBuilt</t>
        </is>
      </c>
      <c r="J1" s="1" t="inlineStr">
        <is>
          <t>PlanningCaseNumber</t>
        </is>
      </c>
      <c r="K1" s="1" t="inlineStr">
        <is>
          <t>PermitCase</t>
        </is>
      </c>
      <c r="L1" s="1" t="inlineStr">
        <is>
          <t>PermitStatus</t>
        </is>
      </c>
      <c r="M1" s="1" t="inlineStr">
        <is>
          <t>OCCDate</t>
        </is>
      </c>
      <c r="N1" s="1" t="inlineStr">
        <is>
          <t>LastEditDate</t>
        </is>
      </c>
      <c r="O1" s="1" t="inlineStr">
        <is>
          <t>OBJECTID</t>
        </is>
      </c>
      <c r="P1" s="1" t="inlineStr">
        <is>
          <t>source_url</t>
        </is>
      </c>
      <c r="Q1" s="1" t="inlineStr">
        <is>
          <t>county_layer_status</t>
        </is>
      </c>
    </row>
    <row r="2">
      <c r="A2" t="n">
        <v>1</v>
      </c>
      <c r="B2" t="inlineStr">
        <is>
          <t>Wellington Road East</t>
        </is>
      </c>
      <c r="C2" t="inlineStr">
        <is>
          <t>Planned</t>
        </is>
      </c>
      <c r="D2" t="inlineStr">
        <is>
          <t>5451 Wellington Road East</t>
        </is>
      </c>
      <c r="E2" t="inlineStr">
        <is>
          <t>REZ1958-0021</t>
        </is>
      </c>
      <c r="F2" t="inlineStr">
        <is>
          <t>7497-13-3597</t>
        </is>
      </c>
      <c r="G2" t="inlineStr">
        <is>
          <t>5551 WELLINGTON RD GAINESVILLE, VA 20155</t>
        </is>
      </c>
      <c r="H2" t="n">
        <v>116550</v>
      </c>
      <c r="J2" t="inlineStr">
        <is>
          <t>REZ1958-0021</t>
        </is>
      </c>
      <c r="L2" t="inlineStr">
        <is>
          <t>Planned</t>
        </is>
      </c>
      <c r="N2" t="inlineStr">
        <is>
          <t>2026-04-28</t>
        </is>
      </c>
      <c r="O2" t="n">
        <v>242</v>
      </c>
      <c r="P2" t="inlineStr">
        <is>
          <t>https://gisweb.pwcva.gov/arcgis/rest/services/Planning/Build_Out_Analysis/MapServer/9/242?f=html</t>
        </is>
      </c>
      <c r="Q2" t="inlineStr">
        <is>
          <t>Planned</t>
        </is>
      </c>
    </row>
    <row r="3">
      <c r="A3" t="n">
        <v>2</v>
      </c>
      <c r="B3" t="inlineStr">
        <is>
          <t>Wellington Road West</t>
        </is>
      </c>
      <c r="C3" t="inlineStr">
        <is>
          <t>Planned</t>
        </is>
      </c>
      <c r="D3" t="inlineStr">
        <is>
          <t>5451 Wellington Road West</t>
        </is>
      </c>
      <c r="E3" t="inlineStr">
        <is>
          <t>REZ1958-0021</t>
        </is>
      </c>
      <c r="F3" t="inlineStr">
        <is>
          <t>7497-04-7126</t>
        </is>
      </c>
      <c r="G3" t="inlineStr">
        <is>
          <t>5451 WELLINGTON RD GAINESVILLE, VA 20155</t>
        </is>
      </c>
      <c r="H3" t="n">
        <v>255500</v>
      </c>
      <c r="J3" t="inlineStr">
        <is>
          <t>REZ1958-0021</t>
        </is>
      </c>
      <c r="L3" t="inlineStr">
        <is>
          <t>Planned</t>
        </is>
      </c>
      <c r="N3" t="inlineStr">
        <is>
          <t>2026-08-21</t>
        </is>
      </c>
      <c r="O3" t="n">
        <v>234</v>
      </c>
      <c r="P3" t="inlineStr">
        <is>
          <t>https://gisweb.pwcva.gov/arcgis/rest/services/Planning/Build_Out_Analysis/MapServer/9/234?f=html</t>
        </is>
      </c>
      <c r="Q3" t="inlineStr">
        <is>
          <t>Planned</t>
        </is>
      </c>
    </row>
    <row r="4">
      <c r="A4" t="n">
        <v>3</v>
      </c>
      <c r="B4" t="inlineStr">
        <is>
          <t>Aligned Data Centers IAD05</t>
        </is>
      </c>
      <c r="C4" t="inlineStr">
        <is>
          <t>Planned</t>
        </is>
      </c>
      <c r="D4" t="inlineStr">
        <is>
          <t>Aligned Manassas</t>
        </is>
      </c>
      <c r="E4" t="inlineStr">
        <is>
          <t>REZ2019-00022</t>
        </is>
      </c>
      <c r="F4" t="inlineStr">
        <is>
          <t>7597-95-8953</t>
        </is>
      </c>
      <c r="G4" t="inlineStr">
        <is>
          <t>10920 BALLS FORD RD</t>
        </is>
      </c>
      <c r="H4" t="n">
        <v>432742</v>
      </c>
      <c r="L4" t="inlineStr">
        <is>
          <t>Planned</t>
        </is>
      </c>
      <c r="N4" t="inlineStr">
        <is>
          <t>2026-04-22</t>
        </is>
      </c>
      <c r="O4" t="n">
        <v>75</v>
      </c>
      <c r="P4" t="inlineStr">
        <is>
          <t>https://gisweb.pwcva.gov/arcgis/rest/services/Planning/Build_Out_Analysis/MapServer/9/75?f=html</t>
        </is>
      </c>
      <c r="Q4" t="inlineStr">
        <is>
          <t>Planned</t>
        </is>
      </c>
    </row>
    <row r="5">
      <c r="A5" t="n">
        <v>4</v>
      </c>
      <c r="B5" t="inlineStr">
        <is>
          <t>Amazon Bethlehem Technology Park DC18</t>
        </is>
      </c>
      <c r="C5" t="inlineStr">
        <is>
          <t>Completed</t>
        </is>
      </c>
      <c r="D5" t="inlineStr">
        <is>
          <t>Amazon Bethlehem Technology Park</t>
        </is>
      </c>
      <c r="E5" t="inlineStr">
        <is>
          <t>REZ2016-00024</t>
        </is>
      </c>
      <c r="F5" t="inlineStr">
        <is>
          <t>7596-58-8732</t>
        </is>
      </c>
      <c r="G5" t="inlineStr">
        <is>
          <t>8180 BETHLEHEM RD</t>
        </is>
      </c>
      <c r="H5" t="n">
        <v>211816</v>
      </c>
      <c r="I5" t="n">
        <v>2017</v>
      </c>
      <c r="K5" t="inlineStr">
        <is>
          <t>BLD2017-02845</t>
        </is>
      </c>
      <c r="L5" t="inlineStr">
        <is>
          <t>Finaled</t>
        </is>
      </c>
      <c r="M5" t="inlineStr">
        <is>
          <t>2017-10-21</t>
        </is>
      </c>
      <c r="N5" t="inlineStr">
        <is>
          <t>2026-08-21</t>
        </is>
      </c>
      <c r="O5" t="n">
        <v>14</v>
      </c>
      <c r="P5" t="inlineStr">
        <is>
          <t>https://gisweb.pwcva.gov/arcgis/rest/services/Planning/Build_Out_Analysis/MapServer/9/14?f=html</t>
        </is>
      </c>
      <c r="Q5" t="inlineStr">
        <is>
          <t>Completed</t>
        </is>
      </c>
    </row>
    <row r="6">
      <c r="A6" t="n">
        <v>5</v>
      </c>
      <c r="B6" t="inlineStr">
        <is>
          <t>Amazon Bethlehem Technology Park DC19</t>
        </is>
      </c>
      <c r="C6" t="inlineStr">
        <is>
          <t>Completed</t>
        </is>
      </c>
      <c r="D6" t="inlineStr">
        <is>
          <t>Amazon Bethlehem Technology Park</t>
        </is>
      </c>
      <c r="E6" t="inlineStr">
        <is>
          <t>REZ2016-00024</t>
        </is>
      </c>
      <c r="F6" t="inlineStr">
        <is>
          <t>7596-58-8732</t>
        </is>
      </c>
      <c r="G6" t="inlineStr">
        <is>
          <t>8200 BETHLEHEM RD</t>
        </is>
      </c>
      <c r="H6" t="n">
        <v>148580</v>
      </c>
      <c r="I6" t="n">
        <v>2017</v>
      </c>
      <c r="K6" t="inlineStr">
        <is>
          <t>BLD2016-06361</t>
        </is>
      </c>
      <c r="L6" t="inlineStr">
        <is>
          <t>Finaled</t>
        </is>
      </c>
      <c r="M6" t="inlineStr">
        <is>
          <t>2017-05-31</t>
        </is>
      </c>
      <c r="N6" t="inlineStr">
        <is>
          <t>2026-08-21</t>
        </is>
      </c>
      <c r="O6" t="n">
        <v>15</v>
      </c>
      <c r="P6" t="inlineStr">
        <is>
          <t>https://gisweb.pwcva.gov/arcgis/rest/services/Planning/Build_Out_Analysis/MapServer/9/15?f=html</t>
        </is>
      </c>
      <c r="Q6" t="inlineStr">
        <is>
          <t>Completed</t>
        </is>
      </c>
    </row>
    <row r="7">
      <c r="A7" t="n">
        <v>6</v>
      </c>
      <c r="B7" t="inlineStr">
        <is>
          <t>Amazon Bethlehem Technology Park DC20</t>
        </is>
      </c>
      <c r="C7" t="inlineStr">
        <is>
          <t>Completed</t>
        </is>
      </c>
      <c r="D7" t="inlineStr">
        <is>
          <t>Amazon Bethlehem Technology Park</t>
        </is>
      </c>
      <c r="E7" t="inlineStr">
        <is>
          <t>REZ2016-00024</t>
        </is>
      </c>
      <c r="F7" t="inlineStr">
        <is>
          <t>7596-58-8732</t>
        </is>
      </c>
      <c r="G7" t="inlineStr">
        <is>
          <t>8210 BETHLEHEM RD</t>
        </is>
      </c>
      <c r="H7" t="n">
        <v>211816</v>
      </c>
      <c r="I7" t="n">
        <v>2017</v>
      </c>
      <c r="K7" t="inlineStr">
        <is>
          <t>BLD2017-01263</t>
        </is>
      </c>
      <c r="L7" t="inlineStr">
        <is>
          <t>Finaled</t>
        </is>
      </c>
      <c r="M7" t="inlineStr">
        <is>
          <t>2017-08-03</t>
        </is>
      </c>
      <c r="N7" t="inlineStr">
        <is>
          <t>2026-08-21</t>
        </is>
      </c>
      <c r="O7" t="n">
        <v>16</v>
      </c>
      <c r="P7" t="inlineStr">
        <is>
          <t>https://gisweb.pwcva.gov/arcgis/rest/services/Planning/Build_Out_Analysis/MapServer/9/16?f=html</t>
        </is>
      </c>
      <c r="Q7" t="inlineStr">
        <is>
          <t>Completed</t>
        </is>
      </c>
    </row>
    <row r="8">
      <c r="A8" t="n">
        <v>7</v>
      </c>
      <c r="B8" t="inlineStr">
        <is>
          <t>Amazon Bethlehem Technology Park DC23</t>
        </is>
      </c>
      <c r="C8" t="inlineStr">
        <is>
          <t>Completed</t>
        </is>
      </c>
      <c r="D8" t="inlineStr">
        <is>
          <t>Amazon Bethlehem Technology Park</t>
        </is>
      </c>
      <c r="E8" t="inlineStr">
        <is>
          <t>REZ2016-00024</t>
        </is>
      </c>
      <c r="F8" t="inlineStr">
        <is>
          <t>7596-58-8732</t>
        </is>
      </c>
      <c r="G8" t="inlineStr">
        <is>
          <t>8190 BETHLEHEM RD</t>
        </is>
      </c>
      <c r="H8" t="n">
        <v>147530</v>
      </c>
      <c r="I8" t="n">
        <v>2020</v>
      </c>
      <c r="K8" t="inlineStr">
        <is>
          <t>BLD2018-03269</t>
        </is>
      </c>
      <c r="L8" t="inlineStr">
        <is>
          <t>Finaled</t>
        </is>
      </c>
      <c r="M8" t="inlineStr">
        <is>
          <t>2020-05-13</t>
        </is>
      </c>
      <c r="N8" t="inlineStr">
        <is>
          <t>2026-08-21</t>
        </is>
      </c>
      <c r="O8" t="n">
        <v>13</v>
      </c>
      <c r="P8" t="inlineStr">
        <is>
          <t>https://gisweb.pwcva.gov/arcgis/rest/services/Planning/Build_Out_Analysis/MapServer/9/13?f=html</t>
        </is>
      </c>
      <c r="Q8" t="inlineStr">
        <is>
          <t>Completed</t>
        </is>
      </c>
    </row>
    <row r="9">
      <c r="A9" t="n">
        <v>8</v>
      </c>
      <c r="B9" t="inlineStr">
        <is>
          <t>Amazon Colchester Industrial Park 1</t>
        </is>
      </c>
      <c r="C9" t="inlineStr">
        <is>
          <t>Planned</t>
        </is>
      </c>
      <c r="D9" t="inlineStr">
        <is>
          <t>Amazon Colchester Industrial Park</t>
        </is>
      </c>
      <c r="E9" t="inlineStr">
        <is>
          <t>REZ2024-00006</t>
        </is>
      </c>
      <c r="F9" t="inlineStr">
        <is>
          <t>7991-45-0874</t>
        </is>
      </c>
      <c r="G9" t="inlineStr">
        <is>
          <t>14901 DUMFRIES RD</t>
        </is>
      </c>
      <c r="H9" t="n">
        <v>224173</v>
      </c>
      <c r="J9" t="inlineStr">
        <is>
          <t>REZ2024-00006</t>
        </is>
      </c>
      <c r="L9" t="inlineStr">
        <is>
          <t>Planned</t>
        </is>
      </c>
      <c r="N9" t="inlineStr">
        <is>
          <t>2026-04-16</t>
        </is>
      </c>
      <c r="O9" t="n">
        <v>134</v>
      </c>
      <c r="P9" t="inlineStr">
        <is>
          <t>https://gisweb.pwcva.gov/arcgis/rest/services/Planning/Build_Out_Analysis/MapServer/9/134?f=html</t>
        </is>
      </c>
      <c r="Q9" t="inlineStr">
        <is>
          <t>Planned</t>
        </is>
      </c>
    </row>
    <row r="10">
      <c r="A10" t="n">
        <v>9</v>
      </c>
      <c r="B10" t="inlineStr">
        <is>
          <t>Amazon Colchester Industrial Park 2</t>
        </is>
      </c>
      <c r="C10" t="inlineStr">
        <is>
          <t>Planned</t>
        </is>
      </c>
      <c r="D10" t="inlineStr">
        <is>
          <t>Amazon Colchester Industrial Park</t>
        </is>
      </c>
      <c r="E10" t="inlineStr">
        <is>
          <t>REZ2024-00006</t>
        </is>
      </c>
      <c r="F10" t="inlineStr">
        <is>
          <t>7991-45-0874</t>
        </is>
      </c>
      <c r="G10" t="inlineStr">
        <is>
          <t>14901 DUMFRIES RD</t>
        </is>
      </c>
      <c r="H10" t="n">
        <v>224173</v>
      </c>
      <c r="J10" t="inlineStr">
        <is>
          <t>REZ2024-00006</t>
        </is>
      </c>
      <c r="L10" t="inlineStr">
        <is>
          <t>Planned</t>
        </is>
      </c>
      <c r="N10" t="inlineStr">
        <is>
          <t>2026-04-16</t>
        </is>
      </c>
      <c r="O10" t="n">
        <v>132</v>
      </c>
      <c r="P10" t="inlineStr">
        <is>
          <t>https://gisweb.pwcva.gov/arcgis/rest/services/Planning/Build_Out_Analysis/MapServer/9/132?f=html</t>
        </is>
      </c>
      <c r="Q10" t="inlineStr">
        <is>
          <t>Planned</t>
        </is>
      </c>
    </row>
    <row r="11">
      <c r="A11" t="n">
        <v>10</v>
      </c>
      <c r="B11" t="inlineStr">
        <is>
          <t>Amazon AWS IAD-130</t>
        </is>
      </c>
      <c r="C11" t="inlineStr">
        <is>
          <t>Completed</t>
        </is>
      </c>
      <c r="D11" t="inlineStr">
        <is>
          <t>Amazon Freedom Boulevard</t>
        </is>
      </c>
      <c r="E11" t="inlineStr">
        <is>
          <t>REZ1989-0022</t>
        </is>
      </c>
      <c r="F11" t="inlineStr">
        <is>
          <t>7696-21-7764</t>
        </is>
      </c>
      <c r="G11" t="inlineStr">
        <is>
          <t>9040 FREEDOM CENTER BLVD</t>
        </is>
      </c>
      <c r="H11" t="n">
        <v>204211</v>
      </c>
      <c r="I11" t="n">
        <v>2020</v>
      </c>
      <c r="K11" t="inlineStr">
        <is>
          <t>BLD2019-01155</t>
        </is>
      </c>
      <c r="L11" t="inlineStr">
        <is>
          <t>Finaled</t>
        </is>
      </c>
      <c r="M11" t="inlineStr">
        <is>
          <t>2020-09-15</t>
        </is>
      </c>
      <c r="N11" t="inlineStr">
        <is>
          <t>2026-02-26</t>
        </is>
      </c>
      <c r="O11" t="n">
        <v>27</v>
      </c>
      <c r="P11" t="inlineStr">
        <is>
          <t>https://gisweb.pwcva.gov/arcgis/rest/services/Planning/Build_Out_Analysis/MapServer/9/27?f=html</t>
        </is>
      </c>
      <c r="Q11" t="inlineStr">
        <is>
          <t>Completed</t>
        </is>
      </c>
    </row>
    <row r="12">
      <c r="A12" t="n">
        <v>11</v>
      </c>
      <c r="B12" t="inlineStr">
        <is>
          <t>Amazon AWS IAD-131</t>
        </is>
      </c>
      <c r="C12" t="inlineStr">
        <is>
          <t>Completed</t>
        </is>
      </c>
      <c r="D12" t="inlineStr">
        <is>
          <t>Amazon Freedom Boulevard</t>
        </is>
      </c>
      <c r="E12" t="inlineStr">
        <is>
          <t>REZ1989-0022</t>
        </is>
      </c>
      <c r="F12" t="inlineStr">
        <is>
          <t>7696-21-7764</t>
        </is>
      </c>
      <c r="G12" t="inlineStr">
        <is>
          <t>9020 FREEDOM CENTER BLVD</t>
        </is>
      </c>
      <c r="H12" t="n">
        <v>204211</v>
      </c>
      <c r="I12" t="n">
        <v>2020</v>
      </c>
      <c r="K12" t="inlineStr">
        <is>
          <t>BLD2019-04018</t>
        </is>
      </c>
      <c r="L12" t="inlineStr">
        <is>
          <t>Finaled</t>
        </is>
      </c>
      <c r="M12" t="inlineStr">
        <is>
          <t>2020-12-01</t>
        </is>
      </c>
      <c r="N12" t="inlineStr">
        <is>
          <t>2026-02-26</t>
        </is>
      </c>
      <c r="O12" t="n">
        <v>28</v>
      </c>
      <c r="P12" t="inlineStr">
        <is>
          <t>https://gisweb.pwcva.gov/arcgis/rest/services/Planning/Build_Out_Analysis/MapServer/9/28?f=html</t>
        </is>
      </c>
      <c r="Q12" t="inlineStr">
        <is>
          <t>Completed</t>
        </is>
      </c>
    </row>
    <row r="13">
      <c r="A13" t="n">
        <v>12</v>
      </c>
      <c r="B13" t="inlineStr">
        <is>
          <t>Amazon AWS IAD-104</t>
        </is>
      </c>
      <c r="C13" t="inlineStr">
        <is>
          <t>Completed</t>
        </is>
      </c>
      <c r="D13" t="inlineStr">
        <is>
          <t>Amazon Innovation Drive</t>
        </is>
      </c>
      <c r="E13" t="inlineStr">
        <is>
          <t>PLN2007-00749</t>
        </is>
      </c>
      <c r="F13" t="inlineStr">
        <is>
          <t>7695-17-9607</t>
        </is>
      </c>
      <c r="G13" t="inlineStr">
        <is>
          <t>9680 INNOVATION DR</t>
        </is>
      </c>
      <c r="H13" t="n">
        <v>213320</v>
      </c>
      <c r="I13" t="n">
        <v>2024</v>
      </c>
      <c r="J13" t="inlineStr">
        <is>
          <t>PLN2007-0074</t>
        </is>
      </c>
      <c r="K13" t="inlineStr">
        <is>
          <t>BLD2022-01092</t>
        </is>
      </c>
      <c r="L13" t="inlineStr">
        <is>
          <t>Finaled</t>
        </is>
      </c>
      <c r="M13" t="inlineStr">
        <is>
          <t>2024-01-21</t>
        </is>
      </c>
      <c r="N13" t="inlineStr">
        <is>
          <t>2026-04-21</t>
        </is>
      </c>
      <c r="O13" t="n">
        <v>20</v>
      </c>
      <c r="P13" t="inlineStr">
        <is>
          <t>https://gisweb.pwcva.gov/arcgis/rest/services/Planning/Build_Out_Analysis/MapServer/9/20?f=html</t>
        </is>
      </c>
      <c r="Q13" t="inlineStr">
        <is>
          <t>Completed</t>
        </is>
      </c>
    </row>
    <row r="14">
      <c r="A14" t="n">
        <v>13</v>
      </c>
      <c r="B14" t="inlineStr">
        <is>
          <t>Amazon AWS IAD-105</t>
        </is>
      </c>
      <c r="C14" t="inlineStr">
        <is>
          <t>Completed</t>
        </is>
      </c>
      <c r="D14" t="inlineStr">
        <is>
          <t>Amazon Innovation Drive</t>
        </is>
      </c>
      <c r="E14" t="inlineStr">
        <is>
          <t>PLN2007-00749</t>
        </is>
      </c>
      <c r="F14" t="inlineStr">
        <is>
          <t>7695-26-4469</t>
        </is>
      </c>
      <c r="G14" t="inlineStr">
        <is>
          <t>9700 INNOVATION DR</t>
        </is>
      </c>
      <c r="H14" t="n">
        <v>223757</v>
      </c>
      <c r="I14" t="n">
        <v>2024</v>
      </c>
      <c r="J14" t="inlineStr">
        <is>
          <t>PLN2007-0074</t>
        </is>
      </c>
      <c r="K14" t="inlineStr">
        <is>
          <t>BLD2022-03130</t>
        </is>
      </c>
      <c r="L14" t="inlineStr">
        <is>
          <t>Finaled</t>
        </is>
      </c>
      <c r="M14" t="inlineStr">
        <is>
          <t>2024-07-28</t>
        </is>
      </c>
      <c r="N14" t="inlineStr">
        <is>
          <t>2026-04-21</t>
        </is>
      </c>
      <c r="O14" t="n">
        <v>19</v>
      </c>
      <c r="P14" t="inlineStr">
        <is>
          <t>https://gisweb.pwcva.gov/arcgis/rest/services/Planning/Build_Out_Analysis/MapServer/9/19?f=html</t>
        </is>
      </c>
      <c r="Q14" t="inlineStr">
        <is>
          <t>Completed</t>
        </is>
      </c>
    </row>
    <row r="15">
      <c r="A15" t="n">
        <v>14</v>
      </c>
      <c r="B15" t="inlineStr">
        <is>
          <t>Amazon AWS IAD-106</t>
        </is>
      </c>
      <c r="C15" t="inlineStr">
        <is>
          <t>Completed</t>
        </is>
      </c>
      <c r="D15" t="inlineStr">
        <is>
          <t>Amazon Innovation Drive</t>
        </is>
      </c>
      <c r="E15" t="inlineStr">
        <is>
          <t>PLN2007-00749</t>
        </is>
      </c>
      <c r="F15" t="inlineStr">
        <is>
          <t>7695-26-7645</t>
        </is>
      </c>
      <c r="G15" t="inlineStr">
        <is>
          <t>9720 INNOVATION DR</t>
        </is>
      </c>
      <c r="H15" t="n">
        <v>233757</v>
      </c>
      <c r="I15" t="n">
        <v>2025</v>
      </c>
      <c r="J15" t="inlineStr">
        <is>
          <t>PLN2007-0074</t>
        </is>
      </c>
      <c r="K15" t="inlineStr">
        <is>
          <t>BLD2022-04680</t>
        </is>
      </c>
      <c r="L15" t="inlineStr">
        <is>
          <t>Finaled</t>
        </is>
      </c>
      <c r="M15" t="inlineStr">
        <is>
          <t>2025-02-19</t>
        </is>
      </c>
      <c r="N15" t="inlineStr">
        <is>
          <t>2026-04-21</t>
        </is>
      </c>
      <c r="O15" t="n">
        <v>18</v>
      </c>
      <c r="P15" t="inlineStr">
        <is>
          <t>https://gisweb.pwcva.gov/arcgis/rest/services/Planning/Build_Out_Analysis/MapServer/9/18?f=html</t>
        </is>
      </c>
      <c r="Q15" t="inlineStr">
        <is>
          <t>Completed</t>
        </is>
      </c>
    </row>
    <row r="16">
      <c r="A16" t="n">
        <v>15</v>
      </c>
      <c r="B16" t="inlineStr">
        <is>
          <t>Amazon AWS IAD-107</t>
        </is>
      </c>
      <c r="C16" t="inlineStr">
        <is>
          <t>Completed</t>
        </is>
      </c>
      <c r="D16" t="inlineStr">
        <is>
          <t>Amazon Innovation Drive</t>
        </is>
      </c>
      <c r="E16" t="inlineStr">
        <is>
          <t>PLN2007-00749</t>
        </is>
      </c>
      <c r="F16" t="inlineStr">
        <is>
          <t>7695-36-1324</t>
        </is>
      </c>
      <c r="G16" t="inlineStr">
        <is>
          <t>9740 INNOVATION DR</t>
        </is>
      </c>
      <c r="H16" t="n">
        <v>216067</v>
      </c>
      <c r="I16" t="n">
        <v>2025</v>
      </c>
      <c r="J16" t="inlineStr">
        <is>
          <t>PLN2007-0074</t>
        </is>
      </c>
      <c r="K16" t="inlineStr">
        <is>
          <t>BLD2023-00752</t>
        </is>
      </c>
      <c r="L16" t="inlineStr">
        <is>
          <t>Finaled</t>
        </is>
      </c>
      <c r="M16" t="inlineStr">
        <is>
          <t>2025-05-27</t>
        </is>
      </c>
      <c r="N16" t="inlineStr">
        <is>
          <t>2026-04-21</t>
        </is>
      </c>
      <c r="O16" t="n">
        <v>17</v>
      </c>
      <c r="P16" t="inlineStr">
        <is>
          <t>https://gisweb.pwcva.gov/arcgis/rest/services/Planning/Build_Out_Analysis/MapServer/9/17?f=html</t>
        </is>
      </c>
      <c r="Q16" t="inlineStr">
        <is>
          <t>Completed</t>
        </is>
      </c>
    </row>
    <row r="17">
      <c r="A17" t="n">
        <v>16</v>
      </c>
      <c r="B17" t="inlineStr">
        <is>
          <t>Amazon AWS IAD-F</t>
        </is>
      </c>
      <c r="C17" t="inlineStr">
        <is>
          <t>Planned</t>
        </is>
      </c>
      <c r="D17" t="inlineStr">
        <is>
          <t>Amazon Innovation Drive</t>
        </is>
      </c>
      <c r="E17" t="inlineStr">
        <is>
          <t>PLN2007-00749</t>
        </is>
      </c>
      <c r="F17" t="inlineStr">
        <is>
          <t>7695-17-9607</t>
        </is>
      </c>
      <c r="G17" t="inlineStr">
        <is>
          <t>9670 INNOVATION DR</t>
        </is>
      </c>
      <c r="H17" t="n">
        <v>201000</v>
      </c>
      <c r="J17" t="inlineStr">
        <is>
          <t>PLN2007-0074</t>
        </is>
      </c>
      <c r="L17" t="inlineStr">
        <is>
          <t>Planned</t>
        </is>
      </c>
      <c r="N17" t="inlineStr">
        <is>
          <t>2026-08-21</t>
        </is>
      </c>
      <c r="O17" t="n">
        <v>233</v>
      </c>
      <c r="P17" t="inlineStr">
        <is>
          <t>https://gisweb.pwcva.gov/arcgis/rest/services/Planning/Build_Out_Analysis/MapServer/9/233?f=html</t>
        </is>
      </c>
      <c r="Q17" t="inlineStr">
        <is>
          <t>Planned</t>
        </is>
      </c>
    </row>
    <row r="18">
      <c r="A18" t="n">
        <v>17</v>
      </c>
      <c r="B18" t="inlineStr">
        <is>
          <t>Amazon AWS IAD-11</t>
        </is>
      </c>
      <c r="C18" t="inlineStr">
        <is>
          <t>Completed</t>
        </is>
      </c>
      <c r="D18" t="inlineStr">
        <is>
          <t>Amazon Mason King Court</t>
        </is>
      </c>
      <c r="E18" t="inlineStr">
        <is>
          <t>REZ1969-0021</t>
        </is>
      </c>
      <c r="F18" t="inlineStr">
        <is>
          <t>7597-62-3841</t>
        </is>
      </c>
      <c r="G18" t="inlineStr">
        <is>
          <t>7510 MASON KING CT</t>
        </is>
      </c>
      <c r="H18" t="n">
        <v>167145</v>
      </c>
      <c r="I18" t="n">
        <v>2012</v>
      </c>
      <c r="K18" t="inlineStr">
        <is>
          <t>BLD2012-03056</t>
        </is>
      </c>
      <c r="L18" t="inlineStr">
        <is>
          <t>Finaled</t>
        </is>
      </c>
      <c r="M18" t="inlineStr">
        <is>
          <t>1986-06-03</t>
        </is>
      </c>
      <c r="N18" t="inlineStr">
        <is>
          <t>2026-08-21</t>
        </is>
      </c>
      <c r="O18" t="n">
        <v>69</v>
      </c>
      <c r="P18" t="inlineStr">
        <is>
          <t>https://gisweb.pwcva.gov/arcgis/rest/services/Planning/Build_Out_Analysis/MapServer/9/69?f=html</t>
        </is>
      </c>
      <c r="Q18" t="inlineStr">
        <is>
          <t>Completed</t>
        </is>
      </c>
    </row>
    <row r="19">
      <c r="A19" t="n">
        <v>18</v>
      </c>
      <c r="B19" t="inlineStr">
        <is>
          <t>Amazon AWS IAD-24</t>
        </is>
      </c>
      <c r="C19" t="inlineStr">
        <is>
          <t>Completed</t>
        </is>
      </c>
      <c r="D19" t="inlineStr">
        <is>
          <t>Amazon Mason King Court</t>
        </is>
      </c>
      <c r="E19" t="inlineStr">
        <is>
          <t>REZ1969-0021</t>
        </is>
      </c>
      <c r="F19" t="inlineStr">
        <is>
          <t>7597-62-3841</t>
        </is>
      </c>
      <c r="G19" t="inlineStr">
        <is>
          <t>7610 MASON KING CT</t>
        </is>
      </c>
      <c r="H19" t="n">
        <v>41786</v>
      </c>
      <c r="I19" t="n">
        <v>2012</v>
      </c>
      <c r="K19" t="inlineStr">
        <is>
          <t>BLD2012-02503</t>
        </is>
      </c>
      <c r="L19" t="inlineStr">
        <is>
          <t>Finaled</t>
        </is>
      </c>
      <c r="M19" t="inlineStr">
        <is>
          <t>2012-09-19</t>
        </is>
      </c>
      <c r="N19" t="inlineStr">
        <is>
          <t>2026-02-26</t>
        </is>
      </c>
      <c r="O19" t="n">
        <v>70</v>
      </c>
      <c r="P19" t="inlineStr">
        <is>
          <t>https://gisweb.pwcva.gov/arcgis/rest/services/Planning/Build_Out_Analysis/MapServer/9/70?f=html</t>
        </is>
      </c>
      <c r="Q19" t="inlineStr">
        <is>
          <t>Completed</t>
        </is>
      </c>
    </row>
    <row r="20">
      <c r="A20" t="n">
        <v>19</v>
      </c>
      <c r="B20" t="inlineStr">
        <is>
          <t>Amazon AWS IAD-7</t>
        </is>
      </c>
      <c r="C20" t="inlineStr">
        <is>
          <t>Completed</t>
        </is>
      </c>
      <c r="D20" t="inlineStr">
        <is>
          <t>Amazon Mason King Court</t>
        </is>
      </c>
      <c r="E20" t="inlineStr">
        <is>
          <t>REZ1969-0021</t>
        </is>
      </c>
      <c r="F20" t="inlineStr">
        <is>
          <t>7597-72-1867</t>
        </is>
      </c>
      <c r="G20" t="inlineStr">
        <is>
          <t>7505 MASON KING CT</t>
        </is>
      </c>
      <c r="H20" t="n">
        <v>167193</v>
      </c>
      <c r="I20" t="n">
        <v>2012</v>
      </c>
      <c r="K20" t="inlineStr">
        <is>
          <t>BLD2009-02929</t>
        </is>
      </c>
      <c r="L20" t="inlineStr">
        <is>
          <t>Finaled</t>
        </is>
      </c>
      <c r="M20" t="inlineStr">
        <is>
          <t>2012-09-19</t>
        </is>
      </c>
      <c r="N20" t="inlineStr">
        <is>
          <t>2026-02-26</t>
        </is>
      </c>
      <c r="O20" t="n">
        <v>67</v>
      </c>
      <c r="P20" t="inlineStr">
        <is>
          <t>https://gisweb.pwcva.gov/arcgis/rest/services/Planning/Build_Out_Analysis/MapServer/9/67?f=html</t>
        </is>
      </c>
      <c r="Q20" t="inlineStr">
        <is>
          <t>Completed</t>
        </is>
      </c>
    </row>
    <row r="21">
      <c r="A21" t="n">
        <v>20</v>
      </c>
      <c r="B21" t="inlineStr">
        <is>
          <t>Amazon AWS IAD 15445 John Marshall</t>
        </is>
      </c>
      <c r="C21" t="inlineStr">
        <is>
          <t>Completed</t>
        </is>
      </c>
      <c r="D21" t="inlineStr">
        <is>
          <t>Amazon Midwood Center</t>
        </is>
      </c>
      <c r="E21" t="inlineStr">
        <is>
          <t>PLN2003-00108</t>
        </is>
      </c>
      <c r="F21" t="inlineStr">
        <is>
          <t>7298-41-4524</t>
        </is>
      </c>
      <c r="G21" t="inlineStr">
        <is>
          <t>15445 JOHN MARSHALL HWY</t>
        </is>
      </c>
      <c r="H21" t="n">
        <v>141592</v>
      </c>
      <c r="I21" t="n">
        <v>2024</v>
      </c>
      <c r="K21" t="inlineStr">
        <is>
          <t>BLD2022-07765</t>
        </is>
      </c>
      <c r="L21" t="inlineStr">
        <is>
          <t>Finaled</t>
        </is>
      </c>
      <c r="M21" t="inlineStr">
        <is>
          <t>2024-11-04</t>
        </is>
      </c>
      <c r="N21" t="inlineStr">
        <is>
          <t>2026-08-21</t>
        </is>
      </c>
      <c r="O21" t="n">
        <v>106</v>
      </c>
      <c r="P21" t="inlineStr">
        <is>
          <t>https://gisweb.pwcva.gov/arcgis/rest/services/Planning/Build_Out_Analysis/MapServer/9/106?f=html</t>
        </is>
      </c>
      <c r="Q21" t="inlineStr">
        <is>
          <t>Completed</t>
        </is>
      </c>
    </row>
    <row r="22">
      <c r="A22" t="n">
        <v>21</v>
      </c>
      <c r="B22" t="inlineStr">
        <is>
          <t>Amazon AWS IAD-55</t>
        </is>
      </c>
      <c r="C22" t="inlineStr">
        <is>
          <t>Completed</t>
        </is>
      </c>
      <c r="D22" t="inlineStr">
        <is>
          <t>Amazon Midwood Center</t>
        </is>
      </c>
      <c r="E22" t="inlineStr">
        <is>
          <t>PLN2003-00108</t>
        </is>
      </c>
      <c r="F22" t="inlineStr">
        <is>
          <t>7298-51-5907</t>
        </is>
      </c>
      <c r="G22" t="inlineStr">
        <is>
          <t>15395 JOHN MARSHALL HWY</t>
        </is>
      </c>
      <c r="H22" t="n">
        <v>236082</v>
      </c>
      <c r="I22" t="n">
        <v>2014</v>
      </c>
      <c r="K22" t="inlineStr">
        <is>
          <t>BLD2014-01766</t>
        </is>
      </c>
      <c r="L22" t="inlineStr">
        <is>
          <t>Finaled</t>
        </is>
      </c>
      <c r="M22" t="inlineStr">
        <is>
          <t>2014-07-28</t>
        </is>
      </c>
      <c r="N22" t="inlineStr">
        <is>
          <t>2026-08-21</t>
        </is>
      </c>
      <c r="O22" t="n">
        <v>105</v>
      </c>
      <c r="P22" t="inlineStr">
        <is>
          <t>https://gisweb.pwcva.gov/arcgis/rest/services/Planning/Build_Out_Analysis/MapServer/9/105?f=html</t>
        </is>
      </c>
      <c r="Q22" t="inlineStr">
        <is>
          <t>Completed</t>
        </is>
      </c>
    </row>
    <row r="23">
      <c r="A23" t="n">
        <v>22</v>
      </c>
      <c r="B23" t="inlineStr">
        <is>
          <t>Amazon AWS IAD-64</t>
        </is>
      </c>
      <c r="C23" t="inlineStr">
        <is>
          <t>Completed</t>
        </is>
      </c>
      <c r="D23" t="inlineStr">
        <is>
          <t>Amazon Midwood Center</t>
        </is>
      </c>
      <c r="E23" t="inlineStr">
        <is>
          <t>PLN2003-00108</t>
        </is>
      </c>
      <c r="F23" t="inlineStr">
        <is>
          <t>7298-41-4524</t>
        </is>
      </c>
      <c r="G23" t="inlineStr">
        <is>
          <t>15465 JOHN MARSHALL HWY</t>
        </is>
      </c>
      <c r="H23" t="n">
        <v>147187</v>
      </c>
      <c r="I23" t="n">
        <v>2017</v>
      </c>
      <c r="K23" t="inlineStr">
        <is>
          <t>BLD2016-04280</t>
        </is>
      </c>
      <c r="L23" t="inlineStr">
        <is>
          <t>Finaled</t>
        </is>
      </c>
      <c r="M23" t="inlineStr">
        <is>
          <t>2017-10-25</t>
        </is>
      </c>
      <c r="N23" t="inlineStr">
        <is>
          <t>2026-08-21</t>
        </is>
      </c>
      <c r="O23" t="n">
        <v>107</v>
      </c>
      <c r="P23" t="inlineStr">
        <is>
          <t>https://gisweb.pwcva.gov/arcgis/rest/services/Planning/Build_Out_Analysis/MapServer/9/107?f=html</t>
        </is>
      </c>
      <c r="Q23" t="inlineStr">
        <is>
          <t>Completed</t>
        </is>
      </c>
    </row>
    <row r="24">
      <c r="A24" t="n">
        <v>23</v>
      </c>
      <c r="B24" t="inlineStr">
        <is>
          <t>Amazon AWS IAD-64 Ext</t>
        </is>
      </c>
      <c r="C24" t="inlineStr">
        <is>
          <t>Completed</t>
        </is>
      </c>
      <c r="D24" t="inlineStr">
        <is>
          <t>Amazon Midwood Center</t>
        </is>
      </c>
      <c r="E24" t="inlineStr">
        <is>
          <t>PLN2003-00108</t>
        </is>
      </c>
      <c r="F24" t="inlineStr">
        <is>
          <t>7298-41-4524</t>
        </is>
      </c>
      <c r="G24" t="inlineStr">
        <is>
          <t>15475 JOHN MARSHALL HWY</t>
        </is>
      </c>
      <c r="H24" t="n">
        <v>17421</v>
      </c>
      <c r="I24" t="n">
        <v>2021</v>
      </c>
      <c r="K24" t="inlineStr">
        <is>
          <t>BLD2020-04888</t>
        </is>
      </c>
      <c r="L24" t="inlineStr">
        <is>
          <t>Finaled</t>
        </is>
      </c>
      <c r="M24" t="inlineStr">
        <is>
          <t>2021-11-25</t>
        </is>
      </c>
      <c r="N24" t="inlineStr">
        <is>
          <t>2026-08-21</t>
        </is>
      </c>
      <c r="O24" t="n">
        <v>109</v>
      </c>
      <c r="P24" t="inlineStr">
        <is>
          <t>https://gisweb.pwcva.gov/arcgis/rest/services/Planning/Build_Out_Analysis/MapServer/9/109?f=html</t>
        </is>
      </c>
      <c r="Q24" t="inlineStr">
        <is>
          <t>Completed</t>
        </is>
      </c>
    </row>
    <row r="25">
      <c r="A25" t="n">
        <v>24</v>
      </c>
      <c r="B25" t="inlineStr">
        <is>
          <t>Amazon AWS IAD-84</t>
        </is>
      </c>
      <c r="C25" t="inlineStr">
        <is>
          <t>Completed</t>
        </is>
      </c>
      <c r="D25" t="inlineStr">
        <is>
          <t>Amazon Midwood Center</t>
        </is>
      </c>
      <c r="E25" t="inlineStr">
        <is>
          <t>PLN2003-00108</t>
        </is>
      </c>
      <c r="F25" t="inlineStr">
        <is>
          <t>7298-41-4524</t>
        </is>
      </c>
      <c r="G25" t="inlineStr">
        <is>
          <t>15455 JOHN MARSHALL HWY</t>
        </is>
      </c>
      <c r="H25" t="n">
        <v>147187</v>
      </c>
      <c r="I25" t="n">
        <v>2023</v>
      </c>
      <c r="K25" t="inlineStr">
        <is>
          <t>BLD2018-06209</t>
        </is>
      </c>
      <c r="L25" t="inlineStr">
        <is>
          <t>Finaled</t>
        </is>
      </c>
      <c r="M25" t="inlineStr">
        <is>
          <t>2023-07-10</t>
        </is>
      </c>
      <c r="N25" t="inlineStr">
        <is>
          <t>2026-08-21</t>
        </is>
      </c>
      <c r="O25" t="n">
        <v>108</v>
      </c>
      <c r="P25" t="inlineStr">
        <is>
          <t>https://gisweb.pwcva.gov/arcgis/rest/services/Planning/Build_Out_Analysis/MapServer/9/108?f=html</t>
        </is>
      </c>
      <c r="Q25" t="inlineStr">
        <is>
          <t>Completed</t>
        </is>
      </c>
    </row>
    <row r="26">
      <c r="A26" t="n">
        <v>25</v>
      </c>
      <c r="B26" t="inlineStr">
        <is>
          <t>Amazon Parsons Business Park 1</t>
        </is>
      </c>
      <c r="C26" t="inlineStr">
        <is>
          <t>Planned</t>
        </is>
      </c>
      <c r="D26" t="inlineStr">
        <is>
          <t>Amazon Parsons Business Park</t>
        </is>
      </c>
      <c r="E26" t="inlineStr">
        <is>
          <t>REZ2023-00028</t>
        </is>
      </c>
      <c r="F26" t="inlineStr">
        <is>
          <t>7891-69-0322</t>
        </is>
      </c>
      <c r="G26" t="inlineStr">
        <is>
          <t>14237 DUMFRIES RD</t>
        </is>
      </c>
      <c r="H26" t="n">
        <v>171785</v>
      </c>
      <c r="J26" t="inlineStr">
        <is>
          <t>REZ2023-00028</t>
        </is>
      </c>
      <c r="L26" t="inlineStr">
        <is>
          <t>Planned</t>
        </is>
      </c>
      <c r="N26" t="inlineStr">
        <is>
          <t>2026-05-04</t>
        </is>
      </c>
      <c r="O26" t="n">
        <v>136</v>
      </c>
      <c r="P26" t="inlineStr">
        <is>
          <t>https://gisweb.pwcva.gov/arcgis/rest/services/Planning/Build_Out_Analysis/MapServer/9/136?f=html</t>
        </is>
      </c>
      <c r="Q26" t="inlineStr">
        <is>
          <t>Planned</t>
        </is>
      </c>
    </row>
    <row r="27">
      <c r="A27" t="n">
        <v>26</v>
      </c>
      <c r="B27" t="inlineStr">
        <is>
          <t>Amazon Parsons Business Park 2</t>
        </is>
      </c>
      <c r="C27" t="inlineStr">
        <is>
          <t>Planned</t>
        </is>
      </c>
      <c r="D27" t="inlineStr">
        <is>
          <t>Amazon Parsons Business Park</t>
        </is>
      </c>
      <c r="E27" t="inlineStr">
        <is>
          <t>REZ2023-00028</t>
        </is>
      </c>
      <c r="F27" t="inlineStr">
        <is>
          <t>7891-69-0322</t>
        </is>
      </c>
      <c r="G27" t="inlineStr">
        <is>
          <t>14237 DUMFRIES RD</t>
        </is>
      </c>
      <c r="H27" t="n">
        <v>227153</v>
      </c>
      <c r="J27" t="inlineStr">
        <is>
          <t>REZ2023-00028</t>
        </is>
      </c>
      <c r="L27" t="inlineStr">
        <is>
          <t>Planned</t>
        </is>
      </c>
      <c r="N27" t="inlineStr">
        <is>
          <t>2026-05-04</t>
        </is>
      </c>
      <c r="O27" t="n">
        <v>137</v>
      </c>
      <c r="P27" t="inlineStr">
        <is>
          <t>https://gisweb.pwcva.gov/arcgis/rest/services/Planning/Build_Out_Analysis/MapServer/9/137?f=html</t>
        </is>
      </c>
      <c r="Q27" t="inlineStr">
        <is>
          <t>Planned</t>
        </is>
      </c>
    </row>
    <row r="28">
      <c r="A28" t="n">
        <v>27</v>
      </c>
      <c r="B28" t="inlineStr">
        <is>
          <t>Amazon Parsons Business Park 3</t>
        </is>
      </c>
      <c r="C28" t="inlineStr">
        <is>
          <t>Planned</t>
        </is>
      </c>
      <c r="D28" t="inlineStr">
        <is>
          <t>Amazon Parsons Business Park</t>
        </is>
      </c>
      <c r="E28" t="inlineStr">
        <is>
          <t>REZ2023-00028</t>
        </is>
      </c>
      <c r="F28" t="inlineStr">
        <is>
          <t>7891-69-0322</t>
        </is>
      </c>
      <c r="G28" t="inlineStr">
        <is>
          <t>14237 DUMFRIES RD</t>
        </is>
      </c>
      <c r="H28" t="n">
        <v>227153</v>
      </c>
      <c r="J28" t="inlineStr">
        <is>
          <t>REZ2023-00028</t>
        </is>
      </c>
      <c r="L28" t="inlineStr">
        <is>
          <t>Planned</t>
        </is>
      </c>
      <c r="N28" t="inlineStr">
        <is>
          <t>2026-05-04</t>
        </is>
      </c>
      <c r="O28" t="n">
        <v>135</v>
      </c>
      <c r="P28" t="inlineStr">
        <is>
          <t>https://gisweb.pwcva.gov/arcgis/rest/services/Planning/Build_Out_Analysis/MapServer/9/135?f=html</t>
        </is>
      </c>
      <c r="Q28" t="inlineStr">
        <is>
          <t>Planned</t>
        </is>
      </c>
    </row>
    <row r="29">
      <c r="A29" t="n">
        <v>28</v>
      </c>
      <c r="B29" t="inlineStr">
        <is>
          <t>Amazon Parsons Business Park 4</t>
        </is>
      </c>
      <c r="C29" t="inlineStr">
        <is>
          <t>Planned</t>
        </is>
      </c>
      <c r="D29" t="inlineStr">
        <is>
          <t>Amazon Parsons Business Park</t>
        </is>
      </c>
      <c r="E29" t="inlineStr">
        <is>
          <t>REZ2023-00028</t>
        </is>
      </c>
      <c r="F29" t="inlineStr">
        <is>
          <t>7891-69-0322</t>
        </is>
      </c>
      <c r="G29" t="inlineStr">
        <is>
          <t>14237 DUMFRIES RD</t>
        </is>
      </c>
      <c r="H29" t="n">
        <v>227153</v>
      </c>
      <c r="J29" t="inlineStr">
        <is>
          <t>REZ2023-00028</t>
        </is>
      </c>
      <c r="L29" t="inlineStr">
        <is>
          <t>Planned</t>
        </is>
      </c>
      <c r="N29" t="inlineStr">
        <is>
          <t>2026-05-04</t>
        </is>
      </c>
      <c r="O29" t="n">
        <v>138</v>
      </c>
      <c r="P29" t="inlineStr">
        <is>
          <t>https://gisweb.pwcva.gov/arcgis/rest/services/Planning/Build_Out_Analysis/MapServer/9/138?f=html</t>
        </is>
      </c>
      <c r="Q29" t="inlineStr">
        <is>
          <t>Planned</t>
        </is>
      </c>
    </row>
    <row r="30">
      <c r="A30" t="n">
        <v>29</v>
      </c>
      <c r="B30" t="inlineStr">
        <is>
          <t>Amazon Parsons Business Park 5</t>
        </is>
      </c>
      <c r="C30" t="inlineStr">
        <is>
          <t>Planned</t>
        </is>
      </c>
      <c r="D30" t="inlineStr">
        <is>
          <t>Amazon Parsons Business Park</t>
        </is>
      </c>
      <c r="E30" t="inlineStr">
        <is>
          <t>REZ2023-00028</t>
        </is>
      </c>
      <c r="F30" t="inlineStr">
        <is>
          <t>7891-69-0322</t>
        </is>
      </c>
      <c r="G30" t="inlineStr">
        <is>
          <t>14237 DUMFRIES RD</t>
        </is>
      </c>
      <c r="H30" t="n">
        <v>227153</v>
      </c>
      <c r="J30" t="inlineStr">
        <is>
          <t>REZ2023-00028</t>
        </is>
      </c>
      <c r="L30" t="inlineStr">
        <is>
          <t>Planned</t>
        </is>
      </c>
      <c r="N30" t="inlineStr">
        <is>
          <t>2026-05-04</t>
        </is>
      </c>
      <c r="O30" t="n">
        <v>139</v>
      </c>
      <c r="P30" t="inlineStr">
        <is>
          <t>https://gisweb.pwcva.gov/arcgis/rest/services/Planning/Build_Out_Analysis/MapServer/9/139?f=html</t>
        </is>
      </c>
      <c r="Q30" t="inlineStr">
        <is>
          <t>Planned</t>
        </is>
      </c>
    </row>
    <row r="31">
      <c r="A31" t="n">
        <v>30</v>
      </c>
      <c r="B31" t="inlineStr">
        <is>
          <t>Amazon Parsons Business Park 6</t>
        </is>
      </c>
      <c r="C31" t="inlineStr">
        <is>
          <t>Planned</t>
        </is>
      </c>
      <c r="D31" t="inlineStr">
        <is>
          <t>Amazon Parsons Business Park</t>
        </is>
      </c>
      <c r="E31" t="inlineStr">
        <is>
          <t>REZ2023-00028</t>
        </is>
      </c>
      <c r="F31" t="inlineStr">
        <is>
          <t>7891-69-0322</t>
        </is>
      </c>
      <c r="G31" t="inlineStr">
        <is>
          <t>14237 DUMFRIES RD</t>
        </is>
      </c>
      <c r="H31" t="n">
        <v>15943</v>
      </c>
      <c r="J31" t="inlineStr">
        <is>
          <t>REZ2023-00028</t>
        </is>
      </c>
      <c r="L31" t="inlineStr">
        <is>
          <t>Planned</t>
        </is>
      </c>
      <c r="N31" t="inlineStr">
        <is>
          <t>2026-05-04</t>
        </is>
      </c>
      <c r="O31" t="n">
        <v>244</v>
      </c>
      <c r="P31" t="inlineStr">
        <is>
          <t>https://gisweb.pwcva.gov/arcgis/rest/services/Planning/Build_Out_Analysis/MapServer/9/244?f=html</t>
        </is>
      </c>
      <c r="Q31" t="inlineStr">
        <is>
          <t>Planned</t>
        </is>
      </c>
    </row>
    <row r="32">
      <c r="A32" t="n">
        <v>31</v>
      </c>
      <c r="B32" t="inlineStr">
        <is>
          <t>Amazon AWS IAD-100</t>
        </is>
      </c>
      <c r="C32" t="inlineStr">
        <is>
          <t>Completed</t>
        </is>
      </c>
      <c r="D32" t="inlineStr">
        <is>
          <t>Amazon Tanner Way</t>
        </is>
      </c>
      <c r="E32" t="inlineStr">
        <is>
          <t>REZ2018-00002</t>
        </is>
      </c>
      <c r="F32" t="inlineStr">
        <is>
          <t>7695-62-8723</t>
        </is>
      </c>
      <c r="G32" t="inlineStr">
        <is>
          <t>10321 TANNER WAY</t>
        </is>
      </c>
      <c r="H32" t="n">
        <v>212017</v>
      </c>
      <c r="I32" t="n">
        <v>2021</v>
      </c>
      <c r="J32" t="inlineStr">
        <is>
          <t>REZ2018-00002</t>
        </is>
      </c>
      <c r="K32" t="inlineStr">
        <is>
          <t>BLD2020-00115</t>
        </is>
      </c>
      <c r="L32" t="inlineStr">
        <is>
          <t>Finaled</t>
        </is>
      </c>
      <c r="M32" t="inlineStr">
        <is>
          <t>2021-10-13</t>
        </is>
      </c>
      <c r="N32" t="inlineStr">
        <is>
          <t>2026-06-10</t>
        </is>
      </c>
      <c r="O32" t="n">
        <v>46</v>
      </c>
      <c r="P32" t="inlineStr">
        <is>
          <t>https://gisweb.pwcva.gov/arcgis/rest/services/Planning/Build_Out_Analysis/MapServer/9/46?f=html</t>
        </is>
      </c>
      <c r="Q32" t="inlineStr">
        <is>
          <t>Completed</t>
        </is>
      </c>
    </row>
    <row r="33">
      <c r="A33" t="n">
        <v>32</v>
      </c>
      <c r="B33" t="inlineStr">
        <is>
          <t>Amazon AWS IAD-101</t>
        </is>
      </c>
      <c r="C33" t="inlineStr">
        <is>
          <t>Completed</t>
        </is>
      </c>
      <c r="D33" t="inlineStr">
        <is>
          <t>Amazon Tanner Way</t>
        </is>
      </c>
      <c r="E33" t="inlineStr">
        <is>
          <t>REZ2018-00002</t>
        </is>
      </c>
      <c r="F33" t="inlineStr">
        <is>
          <t>7695-62-8723</t>
        </is>
      </c>
      <c r="G33" t="inlineStr">
        <is>
          <t>10301 TANNER WAY</t>
        </is>
      </c>
      <c r="H33" t="n">
        <v>214796</v>
      </c>
      <c r="I33" t="n">
        <v>2022</v>
      </c>
      <c r="J33" t="inlineStr">
        <is>
          <t>REZ2018-00002</t>
        </is>
      </c>
      <c r="K33" t="inlineStr">
        <is>
          <t>BLD2020-04380</t>
        </is>
      </c>
      <c r="L33" t="inlineStr">
        <is>
          <t>Finaled</t>
        </is>
      </c>
      <c r="M33" t="inlineStr">
        <is>
          <t>2022-03-07</t>
        </is>
      </c>
      <c r="N33" t="inlineStr">
        <is>
          <t>2026-06-10</t>
        </is>
      </c>
      <c r="O33" t="n">
        <v>48</v>
      </c>
      <c r="P33" t="inlineStr">
        <is>
          <t>https://gisweb.pwcva.gov/arcgis/rest/services/Planning/Build_Out_Analysis/MapServer/9/48?f=html</t>
        </is>
      </c>
      <c r="Q33" t="inlineStr">
        <is>
          <t>Completed</t>
        </is>
      </c>
    </row>
    <row r="34">
      <c r="A34" t="n">
        <v>33</v>
      </c>
      <c r="B34" t="inlineStr">
        <is>
          <t>Amazon AWS IAD-102</t>
        </is>
      </c>
      <c r="C34" t="inlineStr">
        <is>
          <t>Completed</t>
        </is>
      </c>
      <c r="D34" t="inlineStr">
        <is>
          <t>Amazon Tanner Way</t>
        </is>
      </c>
      <c r="E34" t="inlineStr">
        <is>
          <t>REZ2018-00002</t>
        </is>
      </c>
      <c r="F34" t="inlineStr">
        <is>
          <t>7695-62-8723</t>
        </is>
      </c>
      <c r="G34" t="inlineStr">
        <is>
          <t>10281 TANNER WAY</t>
        </is>
      </c>
      <c r="H34" t="n">
        <v>214796</v>
      </c>
      <c r="I34" t="n">
        <v>2022</v>
      </c>
      <c r="J34" t="inlineStr">
        <is>
          <t>REZ2018-00002</t>
        </is>
      </c>
      <c r="K34" t="inlineStr">
        <is>
          <t>BLD2020-05182</t>
        </is>
      </c>
      <c r="L34" t="inlineStr">
        <is>
          <t>Finaled</t>
        </is>
      </c>
      <c r="M34" t="inlineStr">
        <is>
          <t>2020-07-13</t>
        </is>
      </c>
      <c r="N34" t="inlineStr">
        <is>
          <t>2026-06-10</t>
        </is>
      </c>
      <c r="O34" t="n">
        <v>49</v>
      </c>
      <c r="P34" t="inlineStr">
        <is>
          <t>https://gisweb.pwcva.gov/arcgis/rest/services/Planning/Build_Out_Analysis/MapServer/9/49?f=html</t>
        </is>
      </c>
      <c r="Q34" t="inlineStr">
        <is>
          <t>Completed</t>
        </is>
      </c>
    </row>
    <row r="35">
      <c r="A35" t="n">
        <v>34</v>
      </c>
      <c r="B35" t="inlineStr">
        <is>
          <t>Amazon AWS IAD-103</t>
        </is>
      </c>
      <c r="C35" t="inlineStr">
        <is>
          <t>Completed</t>
        </is>
      </c>
      <c r="D35" t="inlineStr">
        <is>
          <t>Amazon Tanner Way</t>
        </is>
      </c>
      <c r="E35" t="inlineStr">
        <is>
          <t>REZ2018-00002</t>
        </is>
      </c>
      <c r="F35" t="inlineStr">
        <is>
          <t>7695-62-8723</t>
        </is>
      </c>
      <c r="G35" t="inlineStr">
        <is>
          <t>10261 TANNER WAY</t>
        </is>
      </c>
      <c r="H35" t="n">
        <v>153582</v>
      </c>
      <c r="I35" t="n">
        <v>2023</v>
      </c>
      <c r="J35" t="inlineStr">
        <is>
          <t>REZ2018-00002</t>
        </is>
      </c>
      <c r="K35" t="inlineStr">
        <is>
          <t>BLD2021-00330</t>
        </is>
      </c>
      <c r="L35" t="inlineStr">
        <is>
          <t>Finaled</t>
        </is>
      </c>
      <c r="M35" t="inlineStr">
        <is>
          <t>2023-03-12</t>
        </is>
      </c>
      <c r="N35" t="inlineStr">
        <is>
          <t>2026-06-10</t>
        </is>
      </c>
      <c r="O35" t="n">
        <v>47</v>
      </c>
      <c r="P35" t="inlineStr">
        <is>
          <t>https://gisweb.pwcva.gov/arcgis/rest/services/Planning/Build_Out_Analysis/MapServer/9/47?f=html</t>
        </is>
      </c>
      <c r="Q35" t="inlineStr">
        <is>
          <t>Completed</t>
        </is>
      </c>
    </row>
    <row r="36">
      <c r="A36" t="n">
        <v>35</v>
      </c>
      <c r="B36" t="inlineStr">
        <is>
          <t>Manassas Amazon AWS 139</t>
        </is>
      </c>
      <c r="C36" t="inlineStr">
        <is>
          <t>Completed</t>
        </is>
      </c>
      <c r="D36" t="inlineStr">
        <is>
          <t>Amazon Thomasson Barn</t>
        </is>
      </c>
      <c r="E36" t="inlineStr">
        <is>
          <t>PLN2007-00535</t>
        </is>
      </c>
      <c r="F36" t="inlineStr">
        <is>
          <t>7595-95-6147</t>
        </is>
      </c>
      <c r="G36" t="inlineStr">
        <is>
          <t>11200 THOMASSON BARN RD</t>
        </is>
      </c>
      <c r="H36" t="n">
        <v>149404</v>
      </c>
      <c r="I36" t="n">
        <v>2019</v>
      </c>
      <c r="K36" t="inlineStr">
        <is>
          <t>BLD2019-02581</t>
        </is>
      </c>
      <c r="L36" t="inlineStr">
        <is>
          <t>Finaled</t>
        </is>
      </c>
      <c r="M36" t="inlineStr">
        <is>
          <t>2019-11-14</t>
        </is>
      </c>
      <c r="N36" t="inlineStr">
        <is>
          <t>2026-10-02</t>
        </is>
      </c>
      <c r="O36" t="n">
        <v>35</v>
      </c>
      <c r="P36" t="inlineStr">
        <is>
          <t>https://gisweb.pwcva.gov/arcgis/rest/services/Planning/Build_Out_Analysis/MapServer/9/35?f=html</t>
        </is>
      </c>
      <c r="Q36" t="inlineStr">
        <is>
          <t>Completed</t>
        </is>
      </c>
    </row>
    <row r="37">
      <c r="A37" t="n">
        <v>36</v>
      </c>
      <c r="B37" t="inlineStr">
        <is>
          <t>Manassas Amazon AWS 140</t>
        </is>
      </c>
      <c r="C37" t="inlineStr">
        <is>
          <t>Completed</t>
        </is>
      </c>
      <c r="D37" t="inlineStr">
        <is>
          <t>Amazon Thomasson Barn</t>
        </is>
      </c>
      <c r="E37" t="inlineStr">
        <is>
          <t>PLN2007-00535</t>
        </is>
      </c>
      <c r="F37" t="inlineStr">
        <is>
          <t>7595-95-6147</t>
        </is>
      </c>
      <c r="G37" t="inlineStr">
        <is>
          <t>11150 THOMASSON BARN RD</t>
        </is>
      </c>
      <c r="H37" t="n">
        <v>202626</v>
      </c>
      <c r="I37" t="n">
        <v>2020</v>
      </c>
      <c r="K37" t="inlineStr">
        <is>
          <t>BLD2019-01459</t>
        </is>
      </c>
      <c r="L37" t="inlineStr">
        <is>
          <t>Finaled</t>
        </is>
      </c>
      <c r="M37" t="inlineStr">
        <is>
          <t>2020-02-04</t>
        </is>
      </c>
      <c r="N37" t="inlineStr">
        <is>
          <t>2026-10-02</t>
        </is>
      </c>
      <c r="O37" t="n">
        <v>36</v>
      </c>
      <c r="P37" t="inlineStr">
        <is>
          <t>https://gisweb.pwcva.gov/arcgis/rest/services/Planning/Build_Out_Analysis/MapServer/9/36?f=html</t>
        </is>
      </c>
      <c r="Q37" t="inlineStr">
        <is>
          <t>Completed</t>
        </is>
      </c>
    </row>
    <row r="38">
      <c r="A38" t="n">
        <v>37</v>
      </c>
      <c r="B38" t="inlineStr">
        <is>
          <t>Village Place Technology Park Bldg 1</t>
        </is>
      </c>
      <c r="C38" t="inlineStr">
        <is>
          <t>Under Construction</t>
        </is>
      </c>
      <c r="D38" t="inlineStr">
        <is>
          <t>Amazon Village Place Technology Park</t>
        </is>
      </c>
      <c r="E38" t="inlineStr">
        <is>
          <t>REZ2020-00024</t>
        </is>
      </c>
      <c r="F38" t="inlineStr">
        <is>
          <t>7397-35-8363</t>
        </is>
      </c>
      <c r="G38" t="inlineStr">
        <is>
          <t>14435 JOHN MARSHALL HWY</t>
        </is>
      </c>
      <c r="H38" t="n">
        <v>217917</v>
      </c>
      <c r="K38" t="inlineStr">
        <is>
          <t>BLD2024-03062</t>
        </is>
      </c>
      <c r="L38" t="inlineStr">
        <is>
          <t>Issued</t>
        </is>
      </c>
      <c r="N38" t="inlineStr">
        <is>
          <t>2026-08-06</t>
        </is>
      </c>
      <c r="O38" t="n">
        <v>100</v>
      </c>
      <c r="P38" t="inlineStr">
        <is>
          <t>https://gisweb.pwcva.gov/arcgis/rest/services/Planning/Build_Out_Analysis/MapServer/9/100?f=html</t>
        </is>
      </c>
      <c r="Q38" t="inlineStr">
        <is>
          <t>Under Construction</t>
        </is>
      </c>
    </row>
    <row r="39">
      <c r="A39" t="n">
        <v>38</v>
      </c>
      <c r="B39" t="inlineStr">
        <is>
          <t>Village Place Technology Park Bldg 2</t>
        </is>
      </c>
      <c r="C39" t="inlineStr">
        <is>
          <t>Under Construction</t>
        </is>
      </c>
      <c r="D39" t="inlineStr">
        <is>
          <t>Amazon Village Place Technology Park</t>
        </is>
      </c>
      <c r="E39" t="inlineStr">
        <is>
          <t>REZ2020-00024</t>
        </is>
      </c>
      <c r="F39" t="inlineStr">
        <is>
          <t>7397-35-5597</t>
        </is>
      </c>
      <c r="G39" t="inlineStr">
        <is>
          <t>14455 JOHN MARSHALL HWY</t>
        </is>
      </c>
      <c r="H39" t="n">
        <v>0</v>
      </c>
      <c r="K39" t="inlineStr">
        <is>
          <t>BLD2023-07720</t>
        </is>
      </c>
      <c r="L39" t="inlineStr">
        <is>
          <t>Issued</t>
        </is>
      </c>
      <c r="N39" t="inlineStr">
        <is>
          <t>2026-02-01</t>
        </is>
      </c>
      <c r="O39" t="n">
        <v>99</v>
      </c>
      <c r="P39" t="inlineStr">
        <is>
          <t>https://gisweb.pwcva.gov/arcgis/rest/services/Planning/Build_Out_Analysis/MapServer/9/99?f=html</t>
        </is>
      </c>
      <c r="Q39" t="inlineStr">
        <is>
          <t>Under Construction</t>
        </is>
      </c>
    </row>
    <row r="40">
      <c r="A40" t="n">
        <v>39</v>
      </c>
      <c r="B40" t="inlineStr">
        <is>
          <t>Village Place Technology Park Bldg 3</t>
        </is>
      </c>
      <c r="C40" t="inlineStr">
        <is>
          <t>Under Construction</t>
        </is>
      </c>
      <c r="D40" t="inlineStr">
        <is>
          <t>Amazon Village Place Technology Park</t>
        </is>
      </c>
      <c r="E40" t="inlineStr">
        <is>
          <t>REZ2020-00024</t>
        </is>
      </c>
      <c r="F40" t="inlineStr">
        <is>
          <t>7397-36-2834</t>
        </is>
      </c>
      <c r="G40" t="inlineStr">
        <is>
          <t>14475 JOHN MARSHALL HWY</t>
        </is>
      </c>
      <c r="H40" t="n">
        <v>0</v>
      </c>
      <c r="K40" t="inlineStr">
        <is>
          <t>BLD2023-04861</t>
        </is>
      </c>
      <c r="L40" t="inlineStr">
        <is>
          <t>Issued</t>
        </is>
      </c>
      <c r="N40" t="inlineStr">
        <is>
          <t>2026-02-01</t>
        </is>
      </c>
      <c r="O40" t="n">
        <v>98</v>
      </c>
      <c r="P40" t="inlineStr">
        <is>
          <t>https://gisweb.pwcva.gov/arcgis/rest/services/Planning/Build_Out_Analysis/MapServer/9/98?f=html</t>
        </is>
      </c>
      <c r="Q40" t="inlineStr">
        <is>
          <t>Under Construction</t>
        </is>
      </c>
    </row>
    <row r="41">
      <c r="A41" t="n">
        <v>40</v>
      </c>
      <c r="B41" t="inlineStr">
        <is>
          <t>Village Place Technology Park Bldg 4</t>
        </is>
      </c>
      <c r="C41" t="inlineStr">
        <is>
          <t>Under Construction</t>
        </is>
      </c>
      <c r="D41" t="inlineStr">
        <is>
          <t>Amazon Village Place Technology Park</t>
        </is>
      </c>
      <c r="E41" t="inlineStr">
        <is>
          <t>REZ2020-00024</t>
        </is>
      </c>
      <c r="F41" t="inlineStr">
        <is>
          <t>7397-36-1468</t>
        </is>
      </c>
      <c r="G41" t="inlineStr">
        <is>
          <t>14495 JOHN MARSHALL HWY</t>
        </is>
      </c>
      <c r="H41" t="n">
        <v>0</v>
      </c>
      <c r="K41" t="inlineStr">
        <is>
          <t>BLD2023-01296</t>
        </is>
      </c>
      <c r="L41" t="inlineStr">
        <is>
          <t>Issued</t>
        </is>
      </c>
      <c r="N41" t="inlineStr">
        <is>
          <t>2026-02-01</t>
        </is>
      </c>
      <c r="O41" t="n">
        <v>97</v>
      </c>
      <c r="P41" t="inlineStr">
        <is>
          <t>https://gisweb.pwcva.gov/arcgis/rest/services/Planning/Build_Out_Analysis/MapServer/9/97?f=html</t>
        </is>
      </c>
      <c r="Q41" t="inlineStr">
        <is>
          <t>Under Construction</t>
        </is>
      </c>
    </row>
    <row r="42">
      <c r="A42" t="n">
        <v>41</v>
      </c>
      <c r="B42" t="inlineStr">
        <is>
          <t>Amazon AWS IAD-73 Manassas</t>
        </is>
      </c>
      <c r="C42" t="inlineStr">
        <is>
          <t>Completed</t>
        </is>
      </c>
      <c r="D42" t="inlineStr">
        <is>
          <t>Amazon Wellington South</t>
        </is>
      </c>
      <c r="E42" t="inlineStr">
        <is>
          <t>REZ1989-0069</t>
        </is>
      </c>
      <c r="F42" t="inlineStr">
        <is>
          <t>7596-17-3979</t>
        </is>
      </c>
      <c r="G42" t="inlineStr">
        <is>
          <t>7060 WELLINGTON RD</t>
        </is>
      </c>
      <c r="H42" t="n">
        <v>148580</v>
      </c>
      <c r="I42" t="n">
        <v>2016</v>
      </c>
      <c r="K42" t="inlineStr">
        <is>
          <t>BLD2015-23921</t>
        </is>
      </c>
      <c r="L42" t="inlineStr">
        <is>
          <t>Finaled</t>
        </is>
      </c>
      <c r="M42" t="inlineStr">
        <is>
          <t>2016-07-21</t>
        </is>
      </c>
      <c r="N42" t="inlineStr">
        <is>
          <t>2026-08-21</t>
        </is>
      </c>
      <c r="O42" t="n">
        <v>10</v>
      </c>
      <c r="P42" t="inlineStr">
        <is>
          <t>https://gisweb.pwcva.gov/arcgis/rest/services/Planning/Build_Out_Analysis/MapServer/9/10?f=html</t>
        </is>
      </c>
      <c r="Q42" t="inlineStr">
        <is>
          <t>Completed</t>
        </is>
      </c>
    </row>
    <row r="43">
      <c r="A43" t="n">
        <v>42</v>
      </c>
      <c r="B43" t="inlineStr">
        <is>
          <t>Amazon AWS IAD-74 Manassas</t>
        </is>
      </c>
      <c r="C43" t="inlineStr">
        <is>
          <t>Completed</t>
        </is>
      </c>
      <c r="D43" t="inlineStr">
        <is>
          <t>Amazon Wellington South</t>
        </is>
      </c>
      <c r="E43" t="inlineStr">
        <is>
          <t>REZ1989-0069</t>
        </is>
      </c>
      <c r="F43" t="inlineStr">
        <is>
          <t>7596-17-3979</t>
        </is>
      </c>
      <c r="G43" t="inlineStr">
        <is>
          <t>7070 WELLINGTON RD</t>
        </is>
      </c>
      <c r="H43" t="n">
        <v>148580</v>
      </c>
      <c r="I43" t="n">
        <v>2016</v>
      </c>
      <c r="K43" t="inlineStr">
        <is>
          <t>BLD2015-22325</t>
        </is>
      </c>
      <c r="L43" t="inlineStr">
        <is>
          <t>Finaled</t>
        </is>
      </c>
      <c r="M43" t="inlineStr">
        <is>
          <t>2016-01-21</t>
        </is>
      </c>
      <c r="N43" t="inlineStr">
        <is>
          <t>2026-08-21</t>
        </is>
      </c>
      <c r="O43" t="n">
        <v>9</v>
      </c>
      <c r="P43" t="inlineStr">
        <is>
          <t>https://gisweb.pwcva.gov/arcgis/rest/services/Planning/Build_Out_Analysis/MapServer/9/9?f=html</t>
        </is>
      </c>
      <c r="Q43" t="inlineStr">
        <is>
          <t>Completed</t>
        </is>
      </c>
    </row>
    <row r="44">
      <c r="A44" t="n">
        <v>43</v>
      </c>
      <c r="B44" t="inlineStr">
        <is>
          <t>Ashton Data Center 1</t>
        </is>
      </c>
      <c r="C44" t="inlineStr">
        <is>
          <t>Pending</t>
        </is>
      </c>
      <c r="D44" t="inlineStr">
        <is>
          <t>Ashton Data Center</t>
        </is>
      </c>
      <c r="E44" t="inlineStr">
        <is>
          <t>REZ2022-00031</t>
        </is>
      </c>
      <c r="F44" t="inlineStr">
        <is>
          <t>7696-46-3403</t>
        </is>
      </c>
      <c r="G44" t="inlineStr">
        <is>
          <t>8552 ASHTON AVE</t>
        </is>
      </c>
      <c r="H44" t="n">
        <v>300000</v>
      </c>
      <c r="J44" t="inlineStr">
        <is>
          <t>REZ2022-00031</t>
        </is>
      </c>
      <c r="L44" t="inlineStr">
        <is>
          <t>Planned</t>
        </is>
      </c>
      <c r="N44" t="inlineStr">
        <is>
          <t>2026-04-21</t>
        </is>
      </c>
      <c r="O44" t="n">
        <v>141</v>
      </c>
      <c r="P44" t="inlineStr">
        <is>
          <t>https://gisweb.pwcva.gov/arcgis/rest/services/Planning/Build_Out_Analysis/MapServer/9/141?f=html</t>
        </is>
      </c>
      <c r="Q44" t="inlineStr">
        <is>
          <t>Pending</t>
        </is>
      </c>
    </row>
    <row r="45">
      <c r="A45" t="n">
        <v>44</v>
      </c>
      <c r="B45" t="inlineStr">
        <is>
          <t>Ashton Data Center 2</t>
        </is>
      </c>
      <c r="C45" t="inlineStr">
        <is>
          <t>Pending</t>
        </is>
      </c>
      <c r="D45" t="inlineStr">
        <is>
          <t>Ashton Data Center</t>
        </is>
      </c>
      <c r="E45" t="inlineStr">
        <is>
          <t>REZ2022-00031</t>
        </is>
      </c>
      <c r="F45" t="inlineStr">
        <is>
          <t>7696-46-3403</t>
        </is>
      </c>
      <c r="G45" t="inlineStr">
        <is>
          <t>8552 ASHTON AVE</t>
        </is>
      </c>
      <c r="H45" t="n">
        <v>300000</v>
      </c>
      <c r="J45" t="inlineStr">
        <is>
          <t>REZ2022-00031</t>
        </is>
      </c>
      <c r="L45" t="inlineStr">
        <is>
          <t>Planned</t>
        </is>
      </c>
      <c r="N45" t="inlineStr">
        <is>
          <t>2026-04-21</t>
        </is>
      </c>
      <c r="O45" t="n">
        <v>162</v>
      </c>
      <c r="P45" t="inlineStr">
        <is>
          <t>https://gisweb.pwcva.gov/arcgis/rest/services/Planning/Build_Out_Analysis/MapServer/9/162?f=html</t>
        </is>
      </c>
      <c r="Q45" t="inlineStr">
        <is>
          <t>Pending</t>
        </is>
      </c>
    </row>
    <row r="46">
      <c r="A46" t="n">
        <v>45</v>
      </c>
      <c r="B46" t="inlineStr">
        <is>
          <t>Astrid North</t>
        </is>
      </c>
      <c r="C46" t="inlineStr">
        <is>
          <t>Planned</t>
        </is>
      </c>
      <c r="D46" t="inlineStr">
        <is>
          <t>Astrid</t>
        </is>
      </c>
      <c r="E46" t="inlineStr">
        <is>
          <t>REZ1958-0021</t>
        </is>
      </c>
      <c r="F46" t="inlineStr">
        <is>
          <t>7497-61-8568</t>
        </is>
      </c>
      <c r="G46" t="inlineStr">
        <is>
          <t>6201 WELLINGTON RD</t>
        </is>
      </c>
      <c r="H46" t="n">
        <v>1700000</v>
      </c>
      <c r="J46" t="inlineStr">
        <is>
          <t>REZ1958-0021</t>
        </is>
      </c>
      <c r="L46" t="inlineStr">
        <is>
          <t>Planned</t>
        </is>
      </c>
      <c r="N46" t="inlineStr">
        <is>
          <t>2026-05-19</t>
        </is>
      </c>
      <c r="O46" t="n">
        <v>251</v>
      </c>
      <c r="P46" t="inlineStr">
        <is>
          <t>https://gisweb.pwcva.gov/arcgis/rest/services/Planning/Build_Out_Analysis/MapServer/9/251?f=html</t>
        </is>
      </c>
      <c r="Q46" t="inlineStr">
        <is>
          <t>Planned</t>
        </is>
      </c>
    </row>
    <row r="47">
      <c r="A47" t="n">
        <v>46</v>
      </c>
      <c r="B47" t="inlineStr">
        <is>
          <t>Astrid South</t>
        </is>
      </c>
      <c r="C47" t="inlineStr">
        <is>
          <t>Planned</t>
        </is>
      </c>
      <c r="D47" t="inlineStr">
        <is>
          <t>Astrid</t>
        </is>
      </c>
      <c r="E47" t="inlineStr">
        <is>
          <t>REZ1958-0021</t>
        </is>
      </c>
      <c r="F47" t="inlineStr">
        <is>
          <t>7497-61-8568</t>
        </is>
      </c>
      <c r="G47" t="inlineStr">
        <is>
          <t>6201 WELLINGTON RD</t>
        </is>
      </c>
      <c r="H47" t="n">
        <v>1100000</v>
      </c>
      <c r="J47" t="inlineStr">
        <is>
          <t>REZ1958-0021</t>
        </is>
      </c>
      <c r="L47" t="inlineStr">
        <is>
          <t>Planned</t>
        </is>
      </c>
      <c r="N47" t="inlineStr">
        <is>
          <t>2026-05-19</t>
        </is>
      </c>
      <c r="O47" t="n">
        <v>252</v>
      </c>
      <c r="P47" t="inlineStr">
        <is>
          <t>https://gisweb.pwcva.gov/arcgis/rest/services/Planning/Build_Out_Analysis/MapServer/9/252?f=html</t>
        </is>
      </c>
      <c r="Q47" t="inlineStr">
        <is>
          <t>Planned</t>
        </is>
      </c>
    </row>
    <row r="48">
      <c r="A48" t="n">
        <v>47</v>
      </c>
      <c r="B48" t="inlineStr">
        <is>
          <t>Atlantic Funding 1</t>
        </is>
      </c>
      <c r="C48" t="inlineStr">
        <is>
          <t>Pending</t>
        </is>
      </c>
      <c r="D48" t="inlineStr">
        <is>
          <t>Atlantic Funding</t>
        </is>
      </c>
      <c r="E48" t="inlineStr">
        <is>
          <t>REZ2026-00041</t>
        </is>
      </c>
      <c r="F48" t="inlineStr">
        <is>
          <t>8290-03-9812</t>
        </is>
      </c>
      <c r="G48" t="inlineStr">
        <is>
          <t>16251 DUMFRIES ROAD</t>
        </is>
      </c>
      <c r="H48" t="n">
        <v>200627</v>
      </c>
      <c r="J48" t="inlineStr">
        <is>
          <t>REZ2026-00041</t>
        </is>
      </c>
      <c r="L48" t="inlineStr">
        <is>
          <t>Planned</t>
        </is>
      </c>
      <c r="N48" t="inlineStr">
        <is>
          <t>2026-05-26</t>
        </is>
      </c>
      <c r="O48" t="n">
        <v>255</v>
      </c>
      <c r="P48" t="inlineStr">
        <is>
          <t>https://gisweb.pwcva.gov/arcgis/rest/services/Planning/Build_Out_Analysis/MapServer/9/255?f=html</t>
        </is>
      </c>
      <c r="Q48" t="inlineStr">
        <is>
          <t>Pending</t>
        </is>
      </c>
    </row>
    <row r="49">
      <c r="A49" t="n">
        <v>48</v>
      </c>
      <c r="B49" t="inlineStr">
        <is>
          <t>Atlantic Funding 2</t>
        </is>
      </c>
      <c r="C49" t="inlineStr">
        <is>
          <t>Pending</t>
        </is>
      </c>
      <c r="D49" t="inlineStr">
        <is>
          <t>Atlantic Funding</t>
        </is>
      </c>
      <c r="E49" t="inlineStr">
        <is>
          <t>REZ2026-00041</t>
        </is>
      </c>
      <c r="F49" t="inlineStr">
        <is>
          <t>8290-03-9812</t>
        </is>
      </c>
      <c r="G49" t="inlineStr">
        <is>
          <t>16251 DUMFRIES ROAD</t>
        </is>
      </c>
      <c r="H49" t="n">
        <v>200627</v>
      </c>
      <c r="J49" t="inlineStr">
        <is>
          <t>REZ2026-00041</t>
        </is>
      </c>
      <c r="L49" t="inlineStr">
        <is>
          <t>Planned</t>
        </is>
      </c>
      <c r="N49" t="inlineStr">
        <is>
          <t>2026-05-26</t>
        </is>
      </c>
      <c r="O49" t="n">
        <v>254</v>
      </c>
      <c r="P49" t="inlineStr">
        <is>
          <t>https://gisweb.pwcva.gov/arcgis/rest/services/Planning/Build_Out_Analysis/MapServer/9/254?f=html</t>
        </is>
      </c>
      <c r="Q49" t="inlineStr">
        <is>
          <t>Pending</t>
        </is>
      </c>
    </row>
    <row r="50">
      <c r="A50" t="n">
        <v>49</v>
      </c>
      <c r="B50" t="inlineStr">
        <is>
          <t>Atlantic Funding 3</t>
        </is>
      </c>
      <c r="C50" t="inlineStr">
        <is>
          <t>Pending</t>
        </is>
      </c>
      <c r="D50" t="inlineStr">
        <is>
          <t>Atlantic Funding</t>
        </is>
      </c>
      <c r="E50" t="inlineStr">
        <is>
          <t>REZ2026-00041</t>
        </is>
      </c>
      <c r="F50" t="inlineStr">
        <is>
          <t>8290-03-9812</t>
        </is>
      </c>
      <c r="G50" t="inlineStr">
        <is>
          <t>16251 DUMFRIES ROAD</t>
        </is>
      </c>
      <c r="H50" t="n">
        <v>200627</v>
      </c>
      <c r="J50" t="inlineStr">
        <is>
          <t>REZ2026-00041</t>
        </is>
      </c>
      <c r="L50" t="inlineStr">
        <is>
          <t>Planned</t>
        </is>
      </c>
      <c r="N50" t="inlineStr">
        <is>
          <t>2026-05-26</t>
        </is>
      </c>
      <c r="O50" t="n">
        <v>253</v>
      </c>
      <c r="P50" t="inlineStr">
        <is>
          <t>https://gisweb.pwcva.gov/arcgis/rest/services/Planning/Build_Out_Analysis/MapServer/9/253?f=html</t>
        </is>
      </c>
      <c r="Q50" t="inlineStr">
        <is>
          <t>Pending</t>
        </is>
      </c>
    </row>
    <row r="51">
      <c r="A51" t="n">
        <v>50</v>
      </c>
      <c r="B51" t="inlineStr">
        <is>
          <t>Century Park - McLane Site</t>
        </is>
      </c>
      <c r="C51" t="inlineStr">
        <is>
          <t>Planned</t>
        </is>
      </c>
      <c r="D51" t="inlineStr">
        <is>
          <t>Century Park</t>
        </is>
      </c>
      <c r="E51" t="inlineStr">
        <is>
          <t>REZ1969-0021</t>
        </is>
      </c>
      <c r="F51" t="inlineStr">
        <is>
          <t>7597-53-0484</t>
        </is>
      </c>
      <c r="G51" t="inlineStr">
        <is>
          <t>7501 CENTURY PARK DR</t>
        </is>
      </c>
      <c r="H51" t="n">
        <v>620000</v>
      </c>
      <c r="J51" t="inlineStr">
        <is>
          <t>REZ1969-0021</t>
        </is>
      </c>
      <c r="L51" t="inlineStr">
        <is>
          <t>Planned</t>
        </is>
      </c>
      <c r="N51" t="inlineStr">
        <is>
          <t>2026-09-23</t>
        </is>
      </c>
      <c r="O51" t="n">
        <v>682</v>
      </c>
      <c r="P51" t="inlineStr">
        <is>
          <t>https://gisweb.pwcva.gov/arcgis/rest/services/Planning/Build_Out_Analysis/MapServer/9/682?f=html</t>
        </is>
      </c>
      <c r="Q51" t="inlineStr">
        <is>
          <t>Planned</t>
        </is>
      </c>
    </row>
    <row r="52">
      <c r="A52" t="n">
        <v>51</v>
      </c>
      <c r="B52" t="inlineStr">
        <is>
          <t>Century Park 1</t>
        </is>
      </c>
      <c r="C52" t="inlineStr">
        <is>
          <t>Planned</t>
        </is>
      </c>
      <c r="D52" t="inlineStr">
        <is>
          <t>Century Park Phase 2 &amp; 3</t>
        </is>
      </c>
      <c r="E52" t="inlineStr">
        <is>
          <t>REZ1969-0021</t>
        </is>
      </c>
      <c r="F52" t="inlineStr">
        <is>
          <t>7597-54-1893.01</t>
        </is>
      </c>
      <c r="G52" t="inlineStr">
        <is>
          <t>7101 CENTURY PARK DR</t>
        </is>
      </c>
      <c r="H52" t="n">
        <v>252000</v>
      </c>
      <c r="J52" t="inlineStr">
        <is>
          <t>REZ1969-0021</t>
        </is>
      </c>
      <c r="L52" t="inlineStr">
        <is>
          <t>Planned</t>
        </is>
      </c>
      <c r="N52" t="inlineStr">
        <is>
          <t>2026-06-03</t>
        </is>
      </c>
      <c r="O52" t="n">
        <v>260</v>
      </c>
      <c r="P52" t="inlineStr">
        <is>
          <t>https://gisweb.pwcva.gov/arcgis/rest/services/Planning/Build_Out_Analysis/MapServer/9/260?f=html</t>
        </is>
      </c>
      <c r="Q52" t="inlineStr">
        <is>
          <t>Planned</t>
        </is>
      </c>
    </row>
    <row r="53">
      <c r="A53" t="n">
        <v>52</v>
      </c>
      <c r="B53" t="inlineStr">
        <is>
          <t>Century Park 2</t>
        </is>
      </c>
      <c r="C53" t="inlineStr">
        <is>
          <t>Planned</t>
        </is>
      </c>
      <c r="D53" t="inlineStr">
        <is>
          <t>Century Park Phase 2 &amp; 3</t>
        </is>
      </c>
      <c r="E53" t="inlineStr">
        <is>
          <t>REZ1969-0021</t>
        </is>
      </c>
      <c r="F53" t="inlineStr">
        <is>
          <t>7597-54-9420.01</t>
        </is>
      </c>
      <c r="G53" t="inlineStr">
        <is>
          <t>7300 CENTURY PARK DR</t>
        </is>
      </c>
      <c r="H53" t="n">
        <v>164000</v>
      </c>
      <c r="J53" t="inlineStr">
        <is>
          <t>REZ1969-0021</t>
        </is>
      </c>
      <c r="L53" t="inlineStr">
        <is>
          <t>Planned</t>
        </is>
      </c>
      <c r="N53" t="inlineStr">
        <is>
          <t>2026-06-03</t>
        </is>
      </c>
      <c r="O53" t="n">
        <v>259</v>
      </c>
      <c r="P53" t="inlineStr">
        <is>
          <t>https://gisweb.pwcva.gov/arcgis/rest/services/Planning/Build_Out_Analysis/MapServer/9/259?f=html</t>
        </is>
      </c>
      <c r="Q53" t="inlineStr">
        <is>
          <t>Planned</t>
        </is>
      </c>
    </row>
    <row r="54">
      <c r="A54" t="n">
        <v>53</v>
      </c>
      <c r="B54" t="inlineStr">
        <is>
          <t>CloudHQ Manassas Corporate Center 1</t>
        </is>
      </c>
      <c r="C54" t="inlineStr">
        <is>
          <t>Completed</t>
        </is>
      </c>
      <c r="D54" t="inlineStr">
        <is>
          <t>CloudHQ Manassas Corporate Center (MCC)</t>
        </is>
      </c>
      <c r="E54" t="inlineStr">
        <is>
          <t>PLN2011-00437</t>
        </is>
      </c>
      <c r="F54" t="inlineStr">
        <is>
          <t>7694-85-3066</t>
        </is>
      </c>
      <c r="G54" t="inlineStr">
        <is>
          <t>10880 AIRMAN AVE</t>
        </is>
      </c>
      <c r="H54" t="n">
        <v>460248</v>
      </c>
      <c r="I54" t="n">
        <v>2017</v>
      </c>
      <c r="K54" t="inlineStr">
        <is>
          <t>BLD2016-05888</t>
        </is>
      </c>
      <c r="L54" t="inlineStr">
        <is>
          <t>Finaled</t>
        </is>
      </c>
      <c r="M54" t="inlineStr">
        <is>
          <t>2017-09-13</t>
        </is>
      </c>
      <c r="N54" t="inlineStr">
        <is>
          <t>2026-08-21</t>
        </is>
      </c>
      <c r="O54" t="n">
        <v>51</v>
      </c>
      <c r="P54" t="inlineStr">
        <is>
          <t>https://gisweb.pwcva.gov/arcgis/rest/services/Planning/Build_Out_Analysis/MapServer/9/51?f=html</t>
        </is>
      </c>
      <c r="Q54" t="inlineStr">
        <is>
          <t>Completed</t>
        </is>
      </c>
    </row>
    <row r="55">
      <c r="A55" t="n">
        <v>54</v>
      </c>
      <c r="B55" t="inlineStr">
        <is>
          <t>CloudHQ Manassas Corporate Center 2</t>
        </is>
      </c>
      <c r="C55" t="inlineStr">
        <is>
          <t>Completed</t>
        </is>
      </c>
      <c r="D55" t="inlineStr">
        <is>
          <t>CloudHQ Manassas Corporate Center (MCC)</t>
        </is>
      </c>
      <c r="E55" t="inlineStr">
        <is>
          <t>PLN2011-00437</t>
        </is>
      </c>
      <c r="F55" t="inlineStr">
        <is>
          <t>7694-87-3694</t>
        </is>
      </c>
      <c r="G55" t="inlineStr">
        <is>
          <t>10100 HARRY J PARRISH BLVD</t>
        </is>
      </c>
      <c r="H55" t="n">
        <v>392565</v>
      </c>
      <c r="I55" t="n">
        <v>2021</v>
      </c>
      <c r="K55" t="inlineStr">
        <is>
          <t>BLD2019-02023</t>
        </is>
      </c>
      <c r="L55" t="inlineStr">
        <is>
          <t>Finaled</t>
        </is>
      </c>
      <c r="M55" t="inlineStr">
        <is>
          <t>2021-01-04</t>
        </is>
      </c>
      <c r="N55" t="inlineStr">
        <is>
          <t>2026-08-21</t>
        </is>
      </c>
      <c r="O55" t="n">
        <v>50</v>
      </c>
      <c r="P55" t="inlineStr">
        <is>
          <t>https://gisweb.pwcva.gov/arcgis/rest/services/Planning/Build_Out_Analysis/MapServer/9/50?f=html</t>
        </is>
      </c>
      <c r="Q55" t="inlineStr">
        <is>
          <t>Completed</t>
        </is>
      </c>
    </row>
    <row r="56">
      <c r="A56" t="n">
        <v>55</v>
      </c>
      <c r="B56" t="inlineStr">
        <is>
          <t>CloudHQ Manassas Corporate Center 3</t>
        </is>
      </c>
      <c r="C56" t="inlineStr">
        <is>
          <t>Planned</t>
        </is>
      </c>
      <c r="D56" t="inlineStr">
        <is>
          <t>CloudHQ Manassas Corporate Center (MCC)</t>
        </is>
      </c>
      <c r="E56" t="inlineStr">
        <is>
          <t>PLN2011-00437</t>
        </is>
      </c>
      <c r="F56" t="inlineStr">
        <is>
          <t>7794-06-4463</t>
        </is>
      </c>
      <c r="G56" t="inlineStr">
        <is>
          <t>10740 AIRMAN AVE</t>
        </is>
      </c>
      <c r="H56" t="n">
        <v>317944</v>
      </c>
      <c r="I56" t="n">
        <v>0</v>
      </c>
      <c r="L56" t="inlineStr">
        <is>
          <t>Planned</t>
        </is>
      </c>
      <c r="N56" t="inlineStr">
        <is>
          <t>2026-04-23</t>
        </is>
      </c>
      <c r="O56" t="n">
        <v>53</v>
      </c>
      <c r="P56" t="inlineStr">
        <is>
          <t>https://gisweb.pwcva.gov/arcgis/rest/services/Planning/Build_Out_Analysis/MapServer/9/53?f=html</t>
        </is>
      </c>
      <c r="Q56" t="inlineStr">
        <is>
          <t>Planned</t>
        </is>
      </c>
    </row>
    <row r="57">
      <c r="A57" t="n">
        <v>56</v>
      </c>
      <c r="B57" t="inlineStr">
        <is>
          <t>CloudHQ Manassas Corporate Center 4</t>
        </is>
      </c>
      <c r="C57" t="inlineStr">
        <is>
          <t>Planned</t>
        </is>
      </c>
      <c r="D57" t="inlineStr">
        <is>
          <t>CloudHQ Manassas Corporate Center (MCC)</t>
        </is>
      </c>
      <c r="E57" t="inlineStr">
        <is>
          <t>PLN2011-00437</t>
        </is>
      </c>
      <c r="F57" t="inlineStr">
        <is>
          <t>7694-96-2732</t>
        </is>
      </c>
      <c r="G57" t="inlineStr">
        <is>
          <t>10849 AIRMAN AVE</t>
        </is>
      </c>
      <c r="H57" t="n">
        <v>252309</v>
      </c>
      <c r="I57" t="n">
        <v>0</v>
      </c>
      <c r="L57" t="inlineStr">
        <is>
          <t>Planned</t>
        </is>
      </c>
      <c r="N57" t="inlineStr">
        <is>
          <t>2026-04-23</t>
        </is>
      </c>
      <c r="O57" t="n">
        <v>54</v>
      </c>
      <c r="P57" t="inlineStr">
        <is>
          <t>https://gisweb.pwcva.gov/arcgis/rest/services/Planning/Build_Out_Analysis/MapServer/9/54?f=html</t>
        </is>
      </c>
      <c r="Q57" t="inlineStr">
        <is>
          <t>Planned</t>
        </is>
      </c>
    </row>
    <row r="58">
      <c r="A58" t="n">
        <v>57</v>
      </c>
      <c r="B58" t="inlineStr">
        <is>
          <t>CloudHQ Manassas Corporate Center 5</t>
        </is>
      </c>
      <c r="C58" t="inlineStr">
        <is>
          <t>Planned</t>
        </is>
      </c>
      <c r="D58" t="inlineStr">
        <is>
          <t>CloudHQ Manassas Corporate Center (MCC)</t>
        </is>
      </c>
      <c r="E58" t="inlineStr">
        <is>
          <t>PLN2011-00437</t>
        </is>
      </c>
      <c r="F58" t="inlineStr">
        <is>
          <t>7694-84-2446</t>
        </is>
      </c>
      <c r="G58" t="inlineStr">
        <is>
          <t>10940 AIRMAN AVE</t>
        </is>
      </c>
      <c r="H58" t="n">
        <v>317944</v>
      </c>
      <c r="I58" t="n">
        <v>0</v>
      </c>
      <c r="L58" t="inlineStr">
        <is>
          <t>Planned</t>
        </is>
      </c>
      <c r="N58" t="inlineStr">
        <is>
          <t>2026-04-23</t>
        </is>
      </c>
      <c r="O58" t="n">
        <v>55</v>
      </c>
      <c r="P58" t="inlineStr">
        <is>
          <t>https://gisweb.pwcva.gov/arcgis/rest/services/Planning/Build_Out_Analysis/MapServer/9/55?f=html</t>
        </is>
      </c>
      <c r="Q58" t="inlineStr">
        <is>
          <t>Planned</t>
        </is>
      </c>
    </row>
    <row r="59">
      <c r="A59" t="n">
        <v>58</v>
      </c>
      <c r="B59" t="inlineStr">
        <is>
          <t>CloudHQ Manassas Corporate Center 6A</t>
        </is>
      </c>
      <c r="C59" t="inlineStr">
        <is>
          <t>Under Construction</t>
        </is>
      </c>
      <c r="D59" t="inlineStr">
        <is>
          <t>CloudHQ Manassas Corporate Center (MCC)</t>
        </is>
      </c>
      <c r="E59" t="inlineStr">
        <is>
          <t>PLN2011-00437</t>
        </is>
      </c>
      <c r="F59" t="inlineStr">
        <is>
          <t>7694-95-7303.00</t>
        </is>
      </c>
      <c r="G59" t="inlineStr">
        <is>
          <t>10900 AIRMAN AVE</t>
        </is>
      </c>
      <c r="H59" t="n">
        <v>317944</v>
      </c>
      <c r="K59" t="inlineStr">
        <is>
          <t>BLD2020-04041</t>
        </is>
      </c>
      <c r="L59" t="inlineStr">
        <is>
          <t>Issued</t>
        </is>
      </c>
      <c r="N59" t="inlineStr">
        <is>
          <t>2026-02-02</t>
        </is>
      </c>
      <c r="O59" t="n">
        <v>52</v>
      </c>
      <c r="P59" t="inlineStr">
        <is>
          <t>https://gisweb.pwcva.gov/arcgis/rest/services/Planning/Build_Out_Analysis/MapServer/9/52?f=html</t>
        </is>
      </c>
      <c r="Q59" t="inlineStr">
        <is>
          <t>Under Construction</t>
        </is>
      </c>
    </row>
    <row r="60">
      <c r="A60" t="n">
        <v>59</v>
      </c>
      <c r="B60" t="inlineStr">
        <is>
          <t>CloudHQ Manassas Corporate Center 6B</t>
        </is>
      </c>
      <c r="C60" t="inlineStr">
        <is>
          <t>Planned</t>
        </is>
      </c>
      <c r="D60" t="inlineStr">
        <is>
          <t>CloudHQ Manassas Corporate Center (MCC)</t>
        </is>
      </c>
      <c r="E60" t="inlineStr">
        <is>
          <t>PLN2011-00437</t>
        </is>
      </c>
      <c r="F60" t="inlineStr">
        <is>
          <t>7694-95-2326.00</t>
        </is>
      </c>
      <c r="G60" t="inlineStr">
        <is>
          <t>10910 AIRMAN AVE</t>
        </is>
      </c>
      <c r="H60" t="n">
        <v>317944</v>
      </c>
      <c r="I60" t="n">
        <v>0</v>
      </c>
      <c r="L60" t="inlineStr">
        <is>
          <t>Planned</t>
        </is>
      </c>
      <c r="N60" t="inlineStr">
        <is>
          <t>2026-04-23</t>
        </is>
      </c>
      <c r="O60" t="n">
        <v>130</v>
      </c>
      <c r="P60" t="inlineStr">
        <is>
          <t>https://gisweb.pwcva.gov/arcgis/rest/services/Planning/Build_Out_Analysis/MapServer/9/130?f=html</t>
        </is>
      </c>
      <c r="Q60" t="inlineStr">
        <is>
          <t>Planned</t>
        </is>
      </c>
    </row>
    <row r="61">
      <c r="A61" t="n">
        <v>60</v>
      </c>
      <c r="B61" t="inlineStr">
        <is>
          <t>CloudHQ Manassas Corporate Center 6C</t>
        </is>
      </c>
      <c r="C61" t="inlineStr">
        <is>
          <t>Planned</t>
        </is>
      </c>
      <c r="D61" t="inlineStr">
        <is>
          <t>CloudHQ Manassas Corporate Center (MCC)</t>
        </is>
      </c>
      <c r="E61" t="inlineStr">
        <is>
          <t>PLN2011-00437</t>
        </is>
      </c>
      <c r="F61" t="inlineStr">
        <is>
          <t>7694-95-2326.00</t>
        </is>
      </c>
      <c r="G61" t="inlineStr">
        <is>
          <t>10910 AIRMAN AVE</t>
        </is>
      </c>
      <c r="H61" t="n">
        <v>317944</v>
      </c>
      <c r="I61" t="n">
        <v>0</v>
      </c>
      <c r="L61" t="inlineStr">
        <is>
          <t>Planned</t>
        </is>
      </c>
      <c r="N61" t="inlineStr">
        <is>
          <t>2026-04-23</t>
        </is>
      </c>
      <c r="O61" t="n">
        <v>131</v>
      </c>
      <c r="P61" t="inlineStr">
        <is>
          <t>https://gisweb.pwcva.gov/arcgis/rest/services/Planning/Build_Out_Analysis/MapServer/9/131?f=html</t>
        </is>
      </c>
      <c r="Q61" t="inlineStr">
        <is>
          <t>Planned</t>
        </is>
      </c>
    </row>
    <row r="62">
      <c r="A62" t="n">
        <v>61</v>
      </c>
      <c r="B62" t="inlineStr">
        <is>
          <t>CloudHQ Manassas Corporate Center 7</t>
        </is>
      </c>
      <c r="C62" t="inlineStr">
        <is>
          <t>Under Construction</t>
        </is>
      </c>
      <c r="D62" t="inlineStr">
        <is>
          <t>CloudHQ Manassas Corporate Center (MCC)</t>
        </is>
      </c>
      <c r="E62" t="inlineStr">
        <is>
          <t>PLN2011-00437</t>
        </is>
      </c>
      <c r="F62" t="inlineStr">
        <is>
          <t>7694-87-2108</t>
        </is>
      </c>
      <c r="G62" t="inlineStr">
        <is>
          <t>10105 HARRY J PARRISH BLVD</t>
        </is>
      </c>
      <c r="H62" t="n">
        <v>235305</v>
      </c>
      <c r="J62" t="inlineStr">
        <is>
          <t>REZ2024-00025</t>
        </is>
      </c>
      <c r="K62" t="inlineStr">
        <is>
          <t>BLD2026-04432</t>
        </is>
      </c>
      <c r="L62" t="inlineStr">
        <is>
          <t>Issued</t>
        </is>
      </c>
      <c r="N62" t="inlineStr">
        <is>
          <t>2026-08-13</t>
        </is>
      </c>
      <c r="O62" t="n">
        <v>56</v>
      </c>
      <c r="P62" t="inlineStr">
        <is>
          <t>https://gisweb.pwcva.gov/arcgis/rest/services/Planning/Build_Out_Analysis/MapServer/9/56?f=html</t>
        </is>
      </c>
      <c r="Q62" t="inlineStr">
        <is>
          <t>Under Construction</t>
        </is>
      </c>
    </row>
    <row r="63">
      <c r="A63" t="n">
        <v>62</v>
      </c>
      <c r="B63" t="inlineStr">
        <is>
          <t>CloudHQ Manassas Corporate Center 8</t>
        </is>
      </c>
      <c r="C63" t="inlineStr">
        <is>
          <t>Pending</t>
        </is>
      </c>
      <c r="D63" t="inlineStr">
        <is>
          <t>CloudHQ Manassas Corporate Center (MCC)</t>
        </is>
      </c>
      <c r="E63" t="inlineStr">
        <is>
          <t>REZ2026-00032</t>
        </is>
      </c>
      <c r="F63" t="inlineStr">
        <is>
          <t>7794-06-1635</t>
        </is>
      </c>
      <c r="G63" t="inlineStr">
        <is>
          <t>AIRMAN AVE</t>
        </is>
      </c>
      <c r="H63" t="n">
        <v>860788</v>
      </c>
      <c r="J63" t="inlineStr">
        <is>
          <t>REZ2026-00032</t>
        </is>
      </c>
      <c r="L63" t="inlineStr">
        <is>
          <t>Planned</t>
        </is>
      </c>
      <c r="N63" t="inlineStr">
        <is>
          <t>2026-04-21</t>
        </is>
      </c>
      <c r="O63" t="n">
        <v>205</v>
      </c>
      <c r="P63" t="inlineStr">
        <is>
          <t>https://gisweb.pwcva.gov/arcgis/rest/services/Planning/Build_Out_Analysis/MapServer/9/205?f=html</t>
        </is>
      </c>
      <c r="Q63" t="inlineStr">
        <is>
          <t>Pending</t>
        </is>
      </c>
    </row>
    <row r="64">
      <c r="A64" t="n">
        <v>63</v>
      </c>
      <c r="B64" t="inlineStr">
        <is>
          <t>CloudHQ Manassas Data Center 1</t>
        </is>
      </c>
      <c r="C64" t="inlineStr">
        <is>
          <t>Under Construction</t>
        </is>
      </c>
      <c r="D64" t="inlineStr">
        <is>
          <t>CloudHQ Manassas Data Center (MDC)</t>
        </is>
      </c>
      <c r="E64" t="inlineStr">
        <is>
          <t>REZ2018-00001</t>
        </is>
      </c>
      <c r="F64" t="inlineStr">
        <is>
          <t>7695-50-9420</t>
        </is>
      </c>
      <c r="G64" t="inlineStr">
        <is>
          <t>10430 HARRY J PARRISH BLVD</t>
        </is>
      </c>
      <c r="H64" t="n">
        <v>597947</v>
      </c>
      <c r="J64" t="inlineStr">
        <is>
          <t>REZ2018-00001</t>
        </is>
      </c>
      <c r="K64" t="inlineStr">
        <is>
          <t>BLD2025-04928</t>
        </is>
      </c>
      <c r="L64" t="inlineStr">
        <is>
          <t>Issued</t>
        </is>
      </c>
      <c r="N64" t="inlineStr">
        <is>
          <t>2026-06-17</t>
        </is>
      </c>
      <c r="O64" t="n">
        <v>62</v>
      </c>
      <c r="P64" t="inlineStr">
        <is>
          <t>https://gisweb.pwcva.gov/arcgis/rest/services/Planning/Build_Out_Analysis/MapServer/9/62?f=html</t>
        </is>
      </c>
      <c r="Q64" t="inlineStr">
        <is>
          <t>Under Construction</t>
        </is>
      </c>
    </row>
    <row r="65">
      <c r="A65" t="n">
        <v>64</v>
      </c>
      <c r="B65" t="inlineStr">
        <is>
          <t>CloudHQ Manassas Data Center 2</t>
        </is>
      </c>
      <c r="C65" t="inlineStr">
        <is>
          <t>Under Construction</t>
        </is>
      </c>
      <c r="D65" t="inlineStr">
        <is>
          <t>CloudHQ Manassas Data Center (MDC)</t>
        </is>
      </c>
      <c r="E65" t="inlineStr">
        <is>
          <t>REZ2018-00001</t>
        </is>
      </c>
      <c r="F65" t="inlineStr">
        <is>
          <t>7695-50-2882</t>
        </is>
      </c>
      <c r="G65" t="inlineStr">
        <is>
          <t>10450 HARRY J PARRISH BLVD</t>
        </is>
      </c>
      <c r="H65" t="n">
        <v>523151</v>
      </c>
      <c r="J65" t="inlineStr">
        <is>
          <t>REZ2018-00001</t>
        </is>
      </c>
      <c r="K65" t="inlineStr">
        <is>
          <t>BLD2026-01701</t>
        </is>
      </c>
      <c r="L65" t="inlineStr">
        <is>
          <t>Issued</t>
        </is>
      </c>
      <c r="N65" t="inlineStr">
        <is>
          <t>2026-06-17</t>
        </is>
      </c>
      <c r="O65" t="n">
        <v>61</v>
      </c>
      <c r="P65" t="inlineStr">
        <is>
          <t>https://gisweb.pwcva.gov/arcgis/rest/services/Planning/Build_Out_Analysis/MapServer/9/61?f=html</t>
        </is>
      </c>
      <c r="Q65" t="inlineStr">
        <is>
          <t>Under Construction</t>
        </is>
      </c>
    </row>
    <row r="66">
      <c r="A66" t="n">
        <v>65</v>
      </c>
      <c r="B66" t="inlineStr">
        <is>
          <t>CloudHQ Manassas Data Center 3</t>
        </is>
      </c>
      <c r="C66" t="inlineStr">
        <is>
          <t>Under Construction</t>
        </is>
      </c>
      <c r="D66" t="inlineStr">
        <is>
          <t>CloudHQ Manassas Data Center (MDC)</t>
        </is>
      </c>
      <c r="E66" t="inlineStr">
        <is>
          <t>REZ2018-00001</t>
        </is>
      </c>
      <c r="F66" t="inlineStr">
        <is>
          <t>7695-41-6086</t>
        </is>
      </c>
      <c r="G66" t="inlineStr">
        <is>
          <t>10470 HARRY J PARRISH BLVD</t>
        </is>
      </c>
      <c r="H66" t="n">
        <v>523151</v>
      </c>
      <c r="J66" t="inlineStr">
        <is>
          <t>REZ2018-00001</t>
        </is>
      </c>
      <c r="K66" t="inlineStr">
        <is>
          <t>BLD2026-02951</t>
        </is>
      </c>
      <c r="L66" t="inlineStr">
        <is>
          <t>Issued</t>
        </is>
      </c>
      <c r="N66" t="inlineStr">
        <is>
          <t>2026-07-13</t>
        </is>
      </c>
      <c r="O66" t="n">
        <v>265</v>
      </c>
      <c r="P66" t="inlineStr">
        <is>
          <t>https://gisweb.pwcva.gov/arcgis/rest/services/Planning/Build_Out_Analysis/MapServer/9/265?f=html</t>
        </is>
      </c>
      <c r="Q66" t="inlineStr">
        <is>
          <t>Under Construction</t>
        </is>
      </c>
    </row>
    <row r="67">
      <c r="A67" t="n">
        <v>66</v>
      </c>
      <c r="B67" t="inlineStr">
        <is>
          <t>Manassas Amazon AWS 004</t>
        </is>
      </c>
      <c r="C67" t="inlineStr">
        <is>
          <t>Completed</t>
        </is>
      </c>
      <c r="D67" t="inlineStr">
        <is>
          <t>CloudHQ Manassas Hornbaker</t>
        </is>
      </c>
      <c r="E67" t="inlineStr">
        <is>
          <t>PLN2007-00535</t>
        </is>
      </c>
      <c r="F67" t="inlineStr">
        <is>
          <t>7595-96-0662</t>
        </is>
      </c>
      <c r="G67" t="inlineStr">
        <is>
          <t>9651 HORNBAKER RD</t>
        </is>
      </c>
      <c r="H67" t="n">
        <v>247608</v>
      </c>
      <c r="I67" t="n">
        <v>2010</v>
      </c>
      <c r="J67" t="inlineStr">
        <is>
          <t>PLN2007-00535</t>
        </is>
      </c>
      <c r="K67" t="inlineStr">
        <is>
          <t>BLD2007-04468</t>
        </is>
      </c>
      <c r="L67" t="inlineStr">
        <is>
          <t>Finaled</t>
        </is>
      </c>
      <c r="M67" t="inlineStr">
        <is>
          <t>2010-04-19</t>
        </is>
      </c>
      <c r="N67" t="inlineStr">
        <is>
          <t>2026-10-02</t>
        </is>
      </c>
      <c r="O67" t="n">
        <v>34</v>
      </c>
      <c r="P67" t="inlineStr">
        <is>
          <t>https://gisweb.pwcva.gov/arcgis/rest/services/Planning/Build_Out_Analysis/MapServer/9/34?f=html</t>
        </is>
      </c>
      <c r="Q67" t="inlineStr">
        <is>
          <t>Completed</t>
        </is>
      </c>
    </row>
    <row r="68">
      <c r="A68" t="n">
        <v>67</v>
      </c>
      <c r="B68" t="inlineStr">
        <is>
          <t>Compass Data Centers</t>
        </is>
      </c>
      <c r="C68" t="inlineStr">
        <is>
          <t>Denied</t>
        </is>
      </c>
      <c r="D68" t="inlineStr">
        <is>
          <t>Compass Data Centers</t>
        </is>
      </c>
      <c r="E68" t="inlineStr">
        <is>
          <t>REZ2022-00036</t>
        </is>
      </c>
      <c r="H68" t="n">
        <v>679718</v>
      </c>
      <c r="J68" t="inlineStr">
        <is>
          <t>REZ2022-00036</t>
        </is>
      </c>
      <c r="L68" t="inlineStr">
        <is>
          <t>Planned</t>
        </is>
      </c>
      <c r="N68" t="inlineStr">
        <is>
          <t>2026-08-04</t>
        </is>
      </c>
      <c r="O68" t="n">
        <v>297</v>
      </c>
      <c r="P68" t="inlineStr">
        <is>
          <t>https://gisweb.pwcva.gov/arcgis/rest/services/Planning/Build_Out_Analysis/MapServer/9/297?f=html</t>
        </is>
      </c>
      <c r="Q68" t="inlineStr">
        <is>
          <t>Pending</t>
        </is>
      </c>
    </row>
    <row r="69">
      <c r="A69" t="n">
        <v>68</v>
      </c>
      <c r="B69" t="inlineStr">
        <is>
          <t>Compass Data Centers</t>
        </is>
      </c>
      <c r="C69" t="inlineStr">
        <is>
          <t>Denied</t>
        </is>
      </c>
      <c r="D69" t="inlineStr">
        <is>
          <t>Compass Data Centers</t>
        </is>
      </c>
      <c r="E69" t="inlineStr">
        <is>
          <t>REZ2022-00036</t>
        </is>
      </c>
      <c r="H69" t="n">
        <v>679718</v>
      </c>
      <c r="J69" t="inlineStr">
        <is>
          <t>REZ2022-00036</t>
        </is>
      </c>
      <c r="L69" t="inlineStr">
        <is>
          <t>Planned</t>
        </is>
      </c>
      <c r="N69" t="inlineStr">
        <is>
          <t>2026-08-04</t>
        </is>
      </c>
      <c r="O69" t="n">
        <v>298</v>
      </c>
      <c r="P69" t="inlineStr">
        <is>
          <t>https://gisweb.pwcva.gov/arcgis/rest/services/Planning/Build_Out_Analysis/MapServer/9/298?f=html</t>
        </is>
      </c>
      <c r="Q69" t="inlineStr">
        <is>
          <t>Pending</t>
        </is>
      </c>
    </row>
    <row r="70">
      <c r="A70" t="n">
        <v>69</v>
      </c>
      <c r="B70" t="inlineStr">
        <is>
          <t>Compass Data Centers</t>
        </is>
      </c>
      <c r="C70" t="inlineStr">
        <is>
          <t>Denied</t>
        </is>
      </c>
      <c r="D70" t="inlineStr">
        <is>
          <t>Compass Data Centers</t>
        </is>
      </c>
      <c r="E70" t="inlineStr">
        <is>
          <t>REZ2022-00036</t>
        </is>
      </c>
      <c r="H70" t="n">
        <v>679718</v>
      </c>
      <c r="J70" t="inlineStr">
        <is>
          <t>REZ2022-00036</t>
        </is>
      </c>
      <c r="L70" t="inlineStr">
        <is>
          <t>Planned</t>
        </is>
      </c>
      <c r="N70" t="inlineStr">
        <is>
          <t>2026-08-04</t>
        </is>
      </c>
      <c r="O70" t="n">
        <v>299</v>
      </c>
      <c r="P70" t="inlineStr">
        <is>
          <t>https://gisweb.pwcva.gov/arcgis/rest/services/Planning/Build_Out_Analysis/MapServer/9/299?f=html</t>
        </is>
      </c>
      <c r="Q70" t="inlineStr">
        <is>
          <t>Pending</t>
        </is>
      </c>
    </row>
    <row r="71">
      <c r="A71" t="n">
        <v>70</v>
      </c>
      <c r="B71" t="inlineStr">
        <is>
          <t>Compass Data Centers</t>
        </is>
      </c>
      <c r="C71" t="inlineStr">
        <is>
          <t>Denied</t>
        </is>
      </c>
      <c r="D71" t="inlineStr">
        <is>
          <t>Compass Data Centers</t>
        </is>
      </c>
      <c r="E71" t="inlineStr">
        <is>
          <t>REZ2022-00036</t>
        </is>
      </c>
      <c r="H71" t="n">
        <v>679718</v>
      </c>
      <c r="J71" t="inlineStr">
        <is>
          <t>REZ2022-00036</t>
        </is>
      </c>
      <c r="L71" t="inlineStr">
        <is>
          <t>Planned</t>
        </is>
      </c>
      <c r="N71" t="inlineStr">
        <is>
          <t>2026-08-04</t>
        </is>
      </c>
      <c r="O71" t="n">
        <v>300</v>
      </c>
      <c r="P71" t="inlineStr">
        <is>
          <t>https://gisweb.pwcva.gov/arcgis/rest/services/Planning/Build_Out_Analysis/MapServer/9/300?f=html</t>
        </is>
      </c>
      <c r="Q71" t="inlineStr">
        <is>
          <t>Pending</t>
        </is>
      </c>
    </row>
    <row r="72">
      <c r="A72" t="n">
        <v>71</v>
      </c>
      <c r="B72" t="inlineStr">
        <is>
          <t>Compass Data Centers</t>
        </is>
      </c>
      <c r="C72" t="inlineStr">
        <is>
          <t>Denied</t>
        </is>
      </c>
      <c r="D72" t="inlineStr">
        <is>
          <t>Compass Data Centers</t>
        </is>
      </c>
      <c r="E72" t="inlineStr">
        <is>
          <t>REZ2022-00036</t>
        </is>
      </c>
      <c r="H72" t="n">
        <v>679718</v>
      </c>
      <c r="J72" t="inlineStr">
        <is>
          <t>REZ2022-00036</t>
        </is>
      </c>
      <c r="L72" t="inlineStr">
        <is>
          <t>Planned</t>
        </is>
      </c>
      <c r="N72" t="inlineStr">
        <is>
          <t>2026-08-04</t>
        </is>
      </c>
      <c r="O72" t="n">
        <v>301</v>
      </c>
      <c r="P72" t="inlineStr">
        <is>
          <t>https://gisweb.pwcva.gov/arcgis/rest/services/Planning/Build_Out_Analysis/MapServer/9/301?f=html</t>
        </is>
      </c>
      <c r="Q72" t="inlineStr">
        <is>
          <t>Pending</t>
        </is>
      </c>
    </row>
    <row r="73">
      <c r="A73" t="n">
        <v>72</v>
      </c>
      <c r="B73" t="inlineStr">
        <is>
          <t>Compass Data Centers</t>
        </is>
      </c>
      <c r="C73" t="inlineStr">
        <is>
          <t>Denied</t>
        </is>
      </c>
      <c r="D73" t="inlineStr">
        <is>
          <t>Compass Data Centers</t>
        </is>
      </c>
      <c r="E73" t="inlineStr">
        <is>
          <t>REZ2022-00036</t>
        </is>
      </c>
      <c r="H73" t="n">
        <v>679718</v>
      </c>
      <c r="J73" t="inlineStr">
        <is>
          <t>REZ2022-00036</t>
        </is>
      </c>
      <c r="L73" t="inlineStr">
        <is>
          <t>Planned</t>
        </is>
      </c>
      <c r="N73" t="inlineStr">
        <is>
          <t>2026-08-04</t>
        </is>
      </c>
      <c r="O73" t="n">
        <v>302</v>
      </c>
      <c r="P73" t="inlineStr">
        <is>
          <t>https://gisweb.pwcva.gov/arcgis/rest/services/Planning/Build_Out_Analysis/MapServer/9/302?f=html</t>
        </is>
      </c>
      <c r="Q73" t="inlineStr">
        <is>
          <t>Pending</t>
        </is>
      </c>
    </row>
    <row r="74">
      <c r="A74" t="n">
        <v>73</v>
      </c>
      <c r="B74" t="inlineStr">
        <is>
          <t>Compass Data Centers</t>
        </is>
      </c>
      <c r="C74" t="inlineStr">
        <is>
          <t>Denied</t>
        </is>
      </c>
      <c r="D74" t="inlineStr">
        <is>
          <t>Compass Data Centers</t>
        </is>
      </c>
      <c r="E74" t="inlineStr">
        <is>
          <t>REZ2022-00036</t>
        </is>
      </c>
      <c r="H74" t="n">
        <v>679718</v>
      </c>
      <c r="J74" t="inlineStr">
        <is>
          <t>REZ2022-00036</t>
        </is>
      </c>
      <c r="L74" t="inlineStr">
        <is>
          <t>Planned</t>
        </is>
      </c>
      <c r="N74" t="inlineStr">
        <is>
          <t>2026-08-04</t>
        </is>
      </c>
      <c r="O74" t="n">
        <v>303</v>
      </c>
      <c r="P74" t="inlineStr">
        <is>
          <t>https://gisweb.pwcva.gov/arcgis/rest/services/Planning/Build_Out_Analysis/MapServer/9/303?f=html</t>
        </is>
      </c>
      <c r="Q74" t="inlineStr">
        <is>
          <t>Pending</t>
        </is>
      </c>
    </row>
    <row r="75">
      <c r="A75" t="n">
        <v>74</v>
      </c>
      <c r="B75" t="inlineStr">
        <is>
          <t>Compass Data Centers</t>
        </is>
      </c>
      <c r="C75" t="inlineStr">
        <is>
          <t>Denied</t>
        </is>
      </c>
      <c r="D75" t="inlineStr">
        <is>
          <t>Compass Data Centers</t>
        </is>
      </c>
      <c r="E75" t="inlineStr">
        <is>
          <t>REZ2022-00036</t>
        </is>
      </c>
      <c r="H75" t="n">
        <v>679718</v>
      </c>
      <c r="J75" t="inlineStr">
        <is>
          <t>REZ2022-00036</t>
        </is>
      </c>
      <c r="L75" t="inlineStr">
        <is>
          <t>Planned</t>
        </is>
      </c>
      <c r="N75" t="inlineStr">
        <is>
          <t>2026-08-04</t>
        </is>
      </c>
      <c r="O75" t="n">
        <v>304</v>
      </c>
      <c r="P75" t="inlineStr">
        <is>
          <t>https://gisweb.pwcva.gov/arcgis/rest/services/Planning/Build_Out_Analysis/MapServer/9/304?f=html</t>
        </is>
      </c>
      <c r="Q75" t="inlineStr">
        <is>
          <t>Pending</t>
        </is>
      </c>
    </row>
    <row r="76">
      <c r="A76" t="n">
        <v>75</v>
      </c>
      <c r="B76" t="inlineStr">
        <is>
          <t>Compass Data Centers</t>
        </is>
      </c>
      <c r="C76" t="inlineStr">
        <is>
          <t>Denied</t>
        </is>
      </c>
      <c r="D76" t="inlineStr">
        <is>
          <t>Compass Data Centers</t>
        </is>
      </c>
      <c r="E76" t="inlineStr">
        <is>
          <t>REZ2022-00036</t>
        </is>
      </c>
      <c r="H76" t="n">
        <v>679718</v>
      </c>
      <c r="J76" t="inlineStr">
        <is>
          <t>REZ2022-00036</t>
        </is>
      </c>
      <c r="L76" t="inlineStr">
        <is>
          <t>Planned</t>
        </is>
      </c>
      <c r="N76" t="inlineStr">
        <is>
          <t>2026-08-04</t>
        </is>
      </c>
      <c r="O76" t="n">
        <v>305</v>
      </c>
      <c r="P76" t="inlineStr">
        <is>
          <t>https://gisweb.pwcva.gov/arcgis/rest/services/Planning/Build_Out_Analysis/MapServer/9/305?f=html</t>
        </is>
      </c>
      <c r="Q76" t="inlineStr">
        <is>
          <t>Pending</t>
        </is>
      </c>
    </row>
    <row r="77">
      <c r="A77" t="n">
        <v>76</v>
      </c>
      <c r="B77" t="inlineStr">
        <is>
          <t>Compass Data Centers</t>
        </is>
      </c>
      <c r="C77" t="inlineStr">
        <is>
          <t>Denied</t>
        </is>
      </c>
      <c r="D77" t="inlineStr">
        <is>
          <t>Compass Data Centers</t>
        </is>
      </c>
      <c r="E77" t="inlineStr">
        <is>
          <t>REZ2022-00036</t>
        </is>
      </c>
      <c r="H77" t="n">
        <v>679718</v>
      </c>
      <c r="J77" t="inlineStr">
        <is>
          <t>REZ2022-00036</t>
        </is>
      </c>
      <c r="L77" t="inlineStr">
        <is>
          <t>Planned</t>
        </is>
      </c>
      <c r="N77" t="inlineStr">
        <is>
          <t>2026-08-04</t>
        </is>
      </c>
      <c r="O77" t="n">
        <v>306</v>
      </c>
      <c r="P77" t="inlineStr">
        <is>
          <t>https://gisweb.pwcva.gov/arcgis/rest/services/Planning/Build_Out_Analysis/MapServer/9/306?f=html</t>
        </is>
      </c>
      <c r="Q77" t="inlineStr">
        <is>
          <t>Pending</t>
        </is>
      </c>
    </row>
    <row r="78">
      <c r="A78" t="n">
        <v>77</v>
      </c>
      <c r="B78" t="inlineStr">
        <is>
          <t>Compass Data Centers</t>
        </is>
      </c>
      <c r="C78" t="inlineStr">
        <is>
          <t>Denied</t>
        </is>
      </c>
      <c r="D78" t="inlineStr">
        <is>
          <t>Compass Data Centers</t>
        </is>
      </c>
      <c r="E78" t="inlineStr">
        <is>
          <t>REZ2022-00036</t>
        </is>
      </c>
      <c r="H78" t="n">
        <v>679718</v>
      </c>
      <c r="J78" t="inlineStr">
        <is>
          <t>REZ2022-00036</t>
        </is>
      </c>
      <c r="L78" t="inlineStr">
        <is>
          <t>Planned</t>
        </is>
      </c>
      <c r="N78" t="inlineStr">
        <is>
          <t>2026-08-04</t>
        </is>
      </c>
      <c r="O78" t="n">
        <v>307</v>
      </c>
      <c r="P78" t="inlineStr">
        <is>
          <t>https://gisweb.pwcva.gov/arcgis/rest/services/Planning/Build_Out_Analysis/MapServer/9/307?f=html</t>
        </is>
      </c>
      <c r="Q78" t="inlineStr">
        <is>
          <t>Pending</t>
        </is>
      </c>
    </row>
    <row r="79">
      <c r="A79" t="n">
        <v>78</v>
      </c>
      <c r="B79" t="inlineStr">
        <is>
          <t>Compass Data Centers</t>
        </is>
      </c>
      <c r="C79" t="inlineStr">
        <is>
          <t>Denied</t>
        </is>
      </c>
      <c r="D79" t="inlineStr">
        <is>
          <t>Compass Data Centers</t>
        </is>
      </c>
      <c r="E79" t="inlineStr">
        <is>
          <t>REZ2022-00036</t>
        </is>
      </c>
      <c r="H79" t="n">
        <v>679718</v>
      </c>
      <c r="J79" t="inlineStr">
        <is>
          <t>REZ2022-00036</t>
        </is>
      </c>
      <c r="L79" t="inlineStr">
        <is>
          <t>Planned</t>
        </is>
      </c>
      <c r="N79" t="inlineStr">
        <is>
          <t>2026-08-04</t>
        </is>
      </c>
      <c r="O79" t="n">
        <v>308</v>
      </c>
      <c r="P79" t="inlineStr">
        <is>
          <t>https://gisweb.pwcva.gov/arcgis/rest/services/Planning/Build_Out_Analysis/MapServer/9/308?f=html</t>
        </is>
      </c>
      <c r="Q79" t="inlineStr">
        <is>
          <t>Pending</t>
        </is>
      </c>
    </row>
    <row r="80">
      <c r="A80" t="n">
        <v>79</v>
      </c>
      <c r="B80" t="inlineStr">
        <is>
          <t>Compass Data Centers</t>
        </is>
      </c>
      <c r="C80" t="inlineStr">
        <is>
          <t>Denied</t>
        </is>
      </c>
      <c r="D80" t="inlineStr">
        <is>
          <t>Compass Data Centers</t>
        </is>
      </c>
      <c r="E80" t="inlineStr">
        <is>
          <t>REZ2022-00036</t>
        </is>
      </c>
      <c r="H80" t="n">
        <v>679718</v>
      </c>
      <c r="J80" t="inlineStr">
        <is>
          <t>REZ2022-00036</t>
        </is>
      </c>
      <c r="L80" t="inlineStr">
        <is>
          <t>Planned</t>
        </is>
      </c>
      <c r="N80" t="inlineStr">
        <is>
          <t>2026-08-04</t>
        </is>
      </c>
      <c r="O80" t="n">
        <v>309</v>
      </c>
      <c r="P80" t="inlineStr">
        <is>
          <t>https://gisweb.pwcva.gov/arcgis/rest/services/Planning/Build_Out_Analysis/MapServer/9/309?f=html</t>
        </is>
      </c>
      <c r="Q80" t="inlineStr">
        <is>
          <t>Pending</t>
        </is>
      </c>
    </row>
    <row r="81">
      <c r="A81" t="n">
        <v>80</v>
      </c>
      <c r="B81" t="inlineStr">
        <is>
          <t>Compass Data Centers</t>
        </is>
      </c>
      <c r="C81" t="inlineStr">
        <is>
          <t>Denied</t>
        </is>
      </c>
      <c r="D81" t="inlineStr">
        <is>
          <t>Compass Data Centers</t>
        </is>
      </c>
      <c r="E81" t="inlineStr">
        <is>
          <t>REZ2022-00036</t>
        </is>
      </c>
      <c r="H81" t="n">
        <v>679718</v>
      </c>
      <c r="J81" t="inlineStr">
        <is>
          <t>REZ2022-00036</t>
        </is>
      </c>
      <c r="L81" t="inlineStr">
        <is>
          <t>Planned</t>
        </is>
      </c>
      <c r="N81" t="inlineStr">
        <is>
          <t>2026-08-04</t>
        </is>
      </c>
      <c r="O81" t="n">
        <v>310</v>
      </c>
      <c r="P81" t="inlineStr">
        <is>
          <t>https://gisweb.pwcva.gov/arcgis/rest/services/Planning/Build_Out_Analysis/MapServer/9/310?f=html</t>
        </is>
      </c>
      <c r="Q81" t="inlineStr">
        <is>
          <t>Pending</t>
        </is>
      </c>
    </row>
    <row r="82">
      <c r="A82" t="n">
        <v>81</v>
      </c>
      <c r="B82" t="inlineStr">
        <is>
          <t>Compass Data Centers</t>
        </is>
      </c>
      <c r="C82" t="inlineStr">
        <is>
          <t>Denied</t>
        </is>
      </c>
      <c r="D82" t="inlineStr">
        <is>
          <t>Compass Data Centers</t>
        </is>
      </c>
      <c r="E82" t="inlineStr">
        <is>
          <t>REZ2022-00036</t>
        </is>
      </c>
      <c r="H82" t="n">
        <v>679718</v>
      </c>
      <c r="J82" t="inlineStr">
        <is>
          <t>REZ2022-00036</t>
        </is>
      </c>
      <c r="L82" t="inlineStr">
        <is>
          <t>Planned</t>
        </is>
      </c>
      <c r="N82" t="inlineStr">
        <is>
          <t>2026-08-04</t>
        </is>
      </c>
      <c r="O82" t="n">
        <v>311</v>
      </c>
      <c r="P82" t="inlineStr">
        <is>
          <t>https://gisweb.pwcva.gov/arcgis/rest/services/Planning/Build_Out_Analysis/MapServer/9/311?f=html</t>
        </is>
      </c>
      <c r="Q82" t="inlineStr">
        <is>
          <t>Pending</t>
        </is>
      </c>
    </row>
    <row r="83">
      <c r="A83" t="n">
        <v>82</v>
      </c>
      <c r="B83" t="inlineStr">
        <is>
          <t>Compass Data Centers</t>
        </is>
      </c>
      <c r="C83" t="inlineStr">
        <is>
          <t>Denied</t>
        </is>
      </c>
      <c r="D83" t="inlineStr">
        <is>
          <t>Compass Data Centers</t>
        </is>
      </c>
      <c r="E83" t="inlineStr">
        <is>
          <t>REZ2022-00036</t>
        </is>
      </c>
      <c r="H83" t="n">
        <v>679718</v>
      </c>
      <c r="J83" t="inlineStr">
        <is>
          <t>REZ2022-00036</t>
        </is>
      </c>
      <c r="L83" t="inlineStr">
        <is>
          <t>Planned</t>
        </is>
      </c>
      <c r="N83" t="inlineStr">
        <is>
          <t>2026-08-04</t>
        </is>
      </c>
      <c r="O83" t="n">
        <v>312</v>
      </c>
      <c r="P83" t="inlineStr">
        <is>
          <t>https://gisweb.pwcva.gov/arcgis/rest/services/Planning/Build_Out_Analysis/MapServer/9/312?f=html</t>
        </is>
      </c>
      <c r="Q83" t="inlineStr">
        <is>
          <t>Pending</t>
        </is>
      </c>
    </row>
    <row r="84">
      <c r="A84" t="n">
        <v>83</v>
      </c>
      <c r="B84" t="inlineStr">
        <is>
          <t>Compass Data Centers</t>
        </is>
      </c>
      <c r="C84" t="inlineStr">
        <is>
          <t>Denied</t>
        </is>
      </c>
      <c r="D84" t="inlineStr">
        <is>
          <t>Compass Data Centers</t>
        </is>
      </c>
      <c r="E84" t="inlineStr">
        <is>
          <t>REZ2022-00036</t>
        </is>
      </c>
      <c r="H84" t="n">
        <v>679718</v>
      </c>
      <c r="J84" t="inlineStr">
        <is>
          <t>REZ2022-00036</t>
        </is>
      </c>
      <c r="L84" t="inlineStr">
        <is>
          <t>Planned</t>
        </is>
      </c>
      <c r="N84" t="inlineStr">
        <is>
          <t>2026-08-04</t>
        </is>
      </c>
      <c r="O84" t="n">
        <v>313</v>
      </c>
      <c r="P84" t="inlineStr">
        <is>
          <t>https://gisweb.pwcva.gov/arcgis/rest/services/Planning/Build_Out_Analysis/MapServer/9/313?f=html</t>
        </is>
      </c>
      <c r="Q84" t="inlineStr">
        <is>
          <t>Pending</t>
        </is>
      </c>
    </row>
    <row r="85">
      <c r="A85" t="n">
        <v>84</v>
      </c>
      <c r="B85" t="inlineStr">
        <is>
          <t>Corscale Gainesville Crossing 1</t>
        </is>
      </c>
      <c r="C85" t="inlineStr">
        <is>
          <t>Completed</t>
        </is>
      </c>
      <c r="D85" t="inlineStr">
        <is>
          <t>CorScale Gainesville Crossing</t>
        </is>
      </c>
      <c r="E85" t="inlineStr">
        <is>
          <t>REZ2018-00008</t>
        </is>
      </c>
      <c r="F85" t="inlineStr">
        <is>
          <t>7497-46-2858</t>
        </is>
      </c>
      <c r="G85" t="inlineStr">
        <is>
          <t>13760 UNIVERSITY BLVD</t>
        </is>
      </c>
      <c r="H85" t="n">
        <v>482223</v>
      </c>
      <c r="I85" t="n">
        <v>2024</v>
      </c>
      <c r="J85" t="inlineStr">
        <is>
          <t>REZ2018-00008</t>
        </is>
      </c>
      <c r="K85" t="inlineStr">
        <is>
          <t>BLD2021-08185</t>
        </is>
      </c>
      <c r="L85" t="inlineStr">
        <is>
          <t>Finaled</t>
        </is>
      </c>
      <c r="M85" t="inlineStr">
        <is>
          <t>2024-05-23</t>
        </is>
      </c>
      <c r="N85" t="inlineStr">
        <is>
          <t>2026-09-25</t>
        </is>
      </c>
      <c r="O85" t="n">
        <v>83</v>
      </c>
      <c r="P85" t="inlineStr">
        <is>
          <t>https://gisweb.pwcva.gov/arcgis/rest/services/Planning/Build_Out_Analysis/MapServer/9/83?f=html</t>
        </is>
      </c>
      <c r="Q85" t="inlineStr">
        <is>
          <t>Completed</t>
        </is>
      </c>
    </row>
    <row r="86">
      <c r="A86" t="n">
        <v>85</v>
      </c>
      <c r="B86" t="inlineStr">
        <is>
          <t>Corscale Gainesville Crossing 2</t>
        </is>
      </c>
      <c r="C86" t="inlineStr">
        <is>
          <t>Completed</t>
        </is>
      </c>
      <c r="D86" t="inlineStr">
        <is>
          <t>CorScale Gainesville Crossing</t>
        </is>
      </c>
      <c r="E86" t="inlineStr">
        <is>
          <t>REZ2018-00008</t>
        </is>
      </c>
      <c r="F86" t="inlineStr">
        <is>
          <t>7497-45-3874</t>
        </is>
      </c>
      <c r="G86" t="inlineStr">
        <is>
          <t>13710 UNIVERSITY BLVD</t>
        </is>
      </c>
      <c r="H86" t="n">
        <v>480200</v>
      </c>
      <c r="I86" t="n">
        <v>2026</v>
      </c>
      <c r="J86" t="inlineStr">
        <is>
          <t>REZ2018-00008</t>
        </is>
      </c>
      <c r="K86" t="inlineStr">
        <is>
          <t>BLD2023-02498</t>
        </is>
      </c>
      <c r="L86" t="inlineStr">
        <is>
          <t>Finaled</t>
        </is>
      </c>
      <c r="M86" t="inlineStr">
        <is>
          <t>2026-02-10</t>
        </is>
      </c>
      <c r="N86" t="inlineStr">
        <is>
          <t>2026-09-25</t>
        </is>
      </c>
      <c r="O86" t="n">
        <v>87</v>
      </c>
      <c r="P86" t="inlineStr">
        <is>
          <t>https://gisweb.pwcva.gov/arcgis/rest/services/Planning/Build_Out_Analysis/MapServer/9/87?f=html</t>
        </is>
      </c>
      <c r="Q86" t="inlineStr">
        <is>
          <t>Completed</t>
        </is>
      </c>
    </row>
    <row r="87">
      <c r="A87" t="n">
        <v>86</v>
      </c>
      <c r="B87" t="inlineStr">
        <is>
          <t>Corscale Gainesville Crossing 3</t>
        </is>
      </c>
      <c r="C87" t="inlineStr">
        <is>
          <t>Completed</t>
        </is>
      </c>
      <c r="D87" t="inlineStr">
        <is>
          <t>CorScale Gainesville Crossing</t>
        </is>
      </c>
      <c r="E87" t="inlineStr">
        <is>
          <t>REZ2018-00008</t>
        </is>
      </c>
      <c r="F87" t="inlineStr">
        <is>
          <t>7497-45-9757</t>
        </is>
      </c>
      <c r="G87" t="inlineStr">
        <is>
          <t>13720 UNIVERSITY BLVD</t>
        </is>
      </c>
      <c r="H87" t="n">
        <v>363220</v>
      </c>
      <c r="I87" t="n">
        <v>2026</v>
      </c>
      <c r="J87" t="inlineStr">
        <is>
          <t>REZ2018-00008</t>
        </is>
      </c>
      <c r="K87" t="inlineStr">
        <is>
          <t>BLD2024-07030</t>
        </is>
      </c>
      <c r="L87" t="inlineStr">
        <is>
          <t>Finaled</t>
        </is>
      </c>
      <c r="M87" t="inlineStr">
        <is>
          <t>2026-06-30</t>
        </is>
      </c>
      <c r="N87" t="inlineStr">
        <is>
          <t>2026-10-01</t>
        </is>
      </c>
      <c r="O87" t="n">
        <v>84</v>
      </c>
      <c r="P87" t="inlineStr">
        <is>
          <t>https://gisweb.pwcva.gov/arcgis/rest/services/Planning/Build_Out_Analysis/MapServer/9/84?f=html</t>
        </is>
      </c>
      <c r="Q87" t="inlineStr">
        <is>
          <t>Completed</t>
        </is>
      </c>
    </row>
    <row r="88">
      <c r="A88" t="n">
        <v>87</v>
      </c>
      <c r="B88" t="inlineStr">
        <is>
          <t>Corscale Gainesville Crossing 4</t>
        </is>
      </c>
      <c r="C88" t="inlineStr">
        <is>
          <t>Planned</t>
        </is>
      </c>
      <c r="D88" t="inlineStr">
        <is>
          <t>CorScale Gainesville Crossing</t>
        </is>
      </c>
      <c r="E88" t="inlineStr">
        <is>
          <t>REZ2018-00008</t>
        </is>
      </c>
      <c r="F88" t="inlineStr">
        <is>
          <t>7497-55-7796</t>
        </is>
      </c>
      <c r="G88" t="inlineStr">
        <is>
          <t>13746 UNIVERSITY BLVD</t>
        </is>
      </c>
      <c r="H88" t="n">
        <v>326208</v>
      </c>
      <c r="J88" t="inlineStr">
        <is>
          <t>REZ2018-00008</t>
        </is>
      </c>
      <c r="K88" t="inlineStr">
        <is>
          <t>BLD2026-04211</t>
        </is>
      </c>
      <c r="L88" t="inlineStr">
        <is>
          <t>Pending</t>
        </is>
      </c>
      <c r="N88" t="inlineStr">
        <is>
          <t>2026-09-25</t>
        </is>
      </c>
      <c r="O88" t="n">
        <v>86</v>
      </c>
      <c r="P88" t="inlineStr">
        <is>
          <t>https://gisweb.pwcva.gov/arcgis/rest/services/Planning/Build_Out_Analysis/MapServer/9/86?f=html</t>
        </is>
      </c>
      <c r="Q88" t="inlineStr">
        <is>
          <t>Planned</t>
        </is>
      </c>
    </row>
    <row r="89">
      <c r="A89" t="n">
        <v>88</v>
      </c>
      <c r="B89" t="inlineStr">
        <is>
          <t>Corscale Gainesville Crossing 5</t>
        </is>
      </c>
      <c r="C89" t="inlineStr">
        <is>
          <t>Planned</t>
        </is>
      </c>
      <c r="D89" t="inlineStr">
        <is>
          <t>CorScale Gainesville Crossing</t>
        </is>
      </c>
      <c r="E89" t="inlineStr">
        <is>
          <t>REZ2018-00008</t>
        </is>
      </c>
      <c r="F89" t="inlineStr">
        <is>
          <t>7497-57-7904</t>
        </is>
      </c>
      <c r="G89" t="inlineStr">
        <is>
          <t>13750 UNIVERSITY BLVD</t>
        </is>
      </c>
      <c r="H89" t="n">
        <v>600000</v>
      </c>
      <c r="J89" t="inlineStr">
        <is>
          <t>REZ2018-00008</t>
        </is>
      </c>
      <c r="L89" t="inlineStr">
        <is>
          <t>Planned</t>
        </is>
      </c>
      <c r="N89" t="inlineStr">
        <is>
          <t>2026-09-25</t>
        </is>
      </c>
      <c r="O89" t="n">
        <v>85</v>
      </c>
      <c r="P89" t="inlineStr">
        <is>
          <t>https://gisweb.pwcva.gov/arcgis/rest/services/Planning/Build_Out_Analysis/MapServer/9/85?f=html</t>
        </is>
      </c>
      <c r="Q89" t="inlineStr">
        <is>
          <t>Planned</t>
        </is>
      </c>
    </row>
    <row r="90">
      <c r="A90" t="n">
        <v>89</v>
      </c>
      <c r="B90" t="inlineStr">
        <is>
          <t>DOANE DRIVE - DULLES GLASS</t>
        </is>
      </c>
      <c r="C90" t="inlineStr">
        <is>
          <t>Planned</t>
        </is>
      </c>
      <c r="D90" t="inlineStr">
        <is>
          <t>DOANE DRIVE - DULLES GLASS</t>
        </is>
      </c>
      <c r="E90" t="inlineStr">
        <is>
          <t>REZ1969-0021</t>
        </is>
      </c>
      <c r="F90" t="inlineStr">
        <is>
          <t>7597-42-8878</t>
        </is>
      </c>
      <c r="G90" t="inlineStr">
        <is>
          <t>7610 DOANE DR</t>
        </is>
      </c>
      <c r="H90" t="n">
        <v>242530</v>
      </c>
      <c r="J90" t="inlineStr">
        <is>
          <t>REZ1969-0021</t>
        </is>
      </c>
      <c r="L90" t="inlineStr">
        <is>
          <t>Planned</t>
        </is>
      </c>
      <c r="N90" t="inlineStr">
        <is>
          <t>2026-09-01</t>
        </is>
      </c>
      <c r="O90" t="n">
        <v>678</v>
      </c>
      <c r="P90" t="inlineStr">
        <is>
          <t>https://gisweb.pwcva.gov/arcgis/rest/services/Planning/Build_Out_Analysis/MapServer/9/678?f=html</t>
        </is>
      </c>
      <c r="Q90" t="inlineStr">
        <is>
          <t>Planned</t>
        </is>
      </c>
    </row>
    <row r="91">
      <c r="A91" t="n">
        <v>90</v>
      </c>
      <c r="B91" t="inlineStr">
        <is>
          <t>Devlin Technology Park A</t>
        </is>
      </c>
      <c r="C91" t="inlineStr">
        <is>
          <t>Planned</t>
        </is>
      </c>
      <c r="D91" t="inlineStr">
        <is>
          <t>Devlin Technology Park</t>
        </is>
      </c>
      <c r="E91" t="inlineStr">
        <is>
          <t>REZ2022-00022</t>
        </is>
      </c>
      <c r="F91" t="inlineStr">
        <is>
          <t>7496-63-4453</t>
        </is>
      </c>
      <c r="G91" t="inlineStr">
        <is>
          <t>9000 DEVLIN RD</t>
        </is>
      </c>
      <c r="H91" t="n">
        <v>222950</v>
      </c>
      <c r="L91" t="inlineStr">
        <is>
          <t>Planned</t>
        </is>
      </c>
      <c r="N91" t="inlineStr">
        <is>
          <t>2026-04-29</t>
        </is>
      </c>
      <c r="O91" t="n">
        <v>127</v>
      </c>
      <c r="P91" t="inlineStr">
        <is>
          <t>https://gisweb.pwcva.gov/arcgis/rest/services/Planning/Build_Out_Analysis/MapServer/9/127?f=html</t>
        </is>
      </c>
      <c r="Q91" t="inlineStr">
        <is>
          <t>Planned</t>
        </is>
      </c>
    </row>
    <row r="92">
      <c r="A92" t="n">
        <v>91</v>
      </c>
      <c r="B92" t="inlineStr">
        <is>
          <t>Devlin Technology Park B</t>
        </is>
      </c>
      <c r="C92" t="inlineStr">
        <is>
          <t>Planned</t>
        </is>
      </c>
      <c r="D92" t="inlineStr">
        <is>
          <t>Devlin Technology Park</t>
        </is>
      </c>
      <c r="E92" t="inlineStr">
        <is>
          <t>REZ2022-00022</t>
        </is>
      </c>
      <c r="F92" t="inlineStr">
        <is>
          <t>7496-63-4453</t>
        </is>
      </c>
      <c r="G92" t="inlineStr">
        <is>
          <t>9000 DEVLIN RD</t>
        </is>
      </c>
      <c r="H92" t="n">
        <v>222950</v>
      </c>
      <c r="L92" t="inlineStr">
        <is>
          <t>Planned</t>
        </is>
      </c>
      <c r="N92" t="inlineStr">
        <is>
          <t>2026-04-29</t>
        </is>
      </c>
      <c r="O92" t="n">
        <v>126</v>
      </c>
      <c r="P92" t="inlineStr">
        <is>
          <t>https://gisweb.pwcva.gov/arcgis/rest/services/Planning/Build_Out_Analysis/MapServer/9/126?f=html</t>
        </is>
      </c>
      <c r="Q92" t="inlineStr">
        <is>
          <t>Planned</t>
        </is>
      </c>
    </row>
    <row r="93">
      <c r="A93" t="n">
        <v>92</v>
      </c>
      <c r="B93" t="inlineStr">
        <is>
          <t>Devlin Technology Park C</t>
        </is>
      </c>
      <c r="C93" t="inlineStr">
        <is>
          <t>Planned</t>
        </is>
      </c>
      <c r="D93" t="inlineStr">
        <is>
          <t>Devlin Technology Park</t>
        </is>
      </c>
      <c r="E93" t="inlineStr">
        <is>
          <t>REZ2022-00022</t>
        </is>
      </c>
      <c r="F93" t="inlineStr">
        <is>
          <t>7496-63-4453</t>
        </is>
      </c>
      <c r="G93" t="inlineStr">
        <is>
          <t>9000 DEVLIN RD</t>
        </is>
      </c>
      <c r="H93" t="n">
        <v>222950</v>
      </c>
      <c r="L93" t="inlineStr">
        <is>
          <t>Planned</t>
        </is>
      </c>
      <c r="N93" t="inlineStr">
        <is>
          <t>2026-04-29</t>
        </is>
      </c>
      <c r="O93" t="n">
        <v>124</v>
      </c>
      <c r="P93" t="inlineStr">
        <is>
          <t>https://gisweb.pwcva.gov/arcgis/rest/services/Planning/Build_Out_Analysis/MapServer/9/124?f=html</t>
        </is>
      </c>
      <c r="Q93" t="inlineStr">
        <is>
          <t>Planned</t>
        </is>
      </c>
    </row>
    <row r="94">
      <c r="A94" t="n">
        <v>93</v>
      </c>
      <c r="B94" t="inlineStr">
        <is>
          <t>Devlin Technology Park D</t>
        </is>
      </c>
      <c r="C94" t="inlineStr">
        <is>
          <t>Planned</t>
        </is>
      </c>
      <c r="D94" t="inlineStr">
        <is>
          <t>Devlin Technology Park</t>
        </is>
      </c>
      <c r="E94" t="inlineStr">
        <is>
          <t>REZ2022-00022</t>
        </is>
      </c>
      <c r="F94" t="inlineStr">
        <is>
          <t>7496-63-4453</t>
        </is>
      </c>
      <c r="G94" t="inlineStr">
        <is>
          <t>9000 DEVLIN RD</t>
        </is>
      </c>
      <c r="H94" t="n">
        <v>222950</v>
      </c>
      <c r="L94" t="inlineStr">
        <is>
          <t>Planned</t>
        </is>
      </c>
      <c r="N94" t="inlineStr">
        <is>
          <t>2026-04-29</t>
        </is>
      </c>
      <c r="O94" t="n">
        <v>122</v>
      </c>
      <c r="P94" t="inlineStr">
        <is>
          <t>https://gisweb.pwcva.gov/arcgis/rest/services/Planning/Build_Out_Analysis/MapServer/9/122?f=html</t>
        </is>
      </c>
      <c r="Q94" t="inlineStr">
        <is>
          <t>Planned</t>
        </is>
      </c>
    </row>
    <row r="95">
      <c r="A95" t="n">
        <v>94</v>
      </c>
      <c r="B95" t="inlineStr">
        <is>
          <t>Devlin Technology Park E</t>
        </is>
      </c>
      <c r="C95" t="inlineStr">
        <is>
          <t>Planned</t>
        </is>
      </c>
      <c r="D95" t="inlineStr">
        <is>
          <t>Devlin Technology Park</t>
        </is>
      </c>
      <c r="E95" t="inlineStr">
        <is>
          <t>REZ2022-00022</t>
        </is>
      </c>
      <c r="F95" t="inlineStr">
        <is>
          <t>7496-63-4453</t>
        </is>
      </c>
      <c r="G95" t="inlineStr">
        <is>
          <t>9000 DEVLIN RD</t>
        </is>
      </c>
      <c r="H95" t="n">
        <v>222950</v>
      </c>
      <c r="L95" t="inlineStr">
        <is>
          <t>Planned</t>
        </is>
      </c>
      <c r="N95" t="inlineStr">
        <is>
          <t>2026-04-29</t>
        </is>
      </c>
      <c r="O95" t="n">
        <v>125</v>
      </c>
      <c r="P95" t="inlineStr">
        <is>
          <t>https://gisweb.pwcva.gov/arcgis/rest/services/Planning/Build_Out_Analysis/MapServer/9/125?f=html</t>
        </is>
      </c>
      <c r="Q95" t="inlineStr">
        <is>
          <t>Planned</t>
        </is>
      </c>
    </row>
    <row r="96">
      <c r="A96" t="n">
        <v>95</v>
      </c>
      <c r="B96" t="inlineStr">
        <is>
          <t>Devlin Technology Park F</t>
        </is>
      </c>
      <c r="C96" t="inlineStr">
        <is>
          <t>Planned</t>
        </is>
      </c>
      <c r="D96" t="inlineStr">
        <is>
          <t>Devlin Technology Park</t>
        </is>
      </c>
      <c r="E96" t="inlineStr">
        <is>
          <t>REZ2022-00022</t>
        </is>
      </c>
      <c r="F96" t="inlineStr">
        <is>
          <t>7496-63-4453</t>
        </is>
      </c>
      <c r="G96" t="inlineStr">
        <is>
          <t>9000 DEVLIN RD</t>
        </is>
      </c>
      <c r="H96" t="n">
        <v>222950</v>
      </c>
      <c r="L96" t="inlineStr">
        <is>
          <t>Planned</t>
        </is>
      </c>
      <c r="N96" t="inlineStr">
        <is>
          <t>2026-04-29</t>
        </is>
      </c>
      <c r="O96" t="n">
        <v>123</v>
      </c>
      <c r="P96" t="inlineStr">
        <is>
          <t>https://gisweb.pwcva.gov/arcgis/rest/services/Planning/Build_Out_Analysis/MapServer/9/123?f=html</t>
        </is>
      </c>
      <c r="Q96" t="inlineStr">
        <is>
          <t>Planned</t>
        </is>
      </c>
    </row>
    <row r="97">
      <c r="A97" t="n">
        <v>96</v>
      </c>
      <c r="B97" t="inlineStr">
        <is>
          <t>Devlin Technology Park G</t>
        </is>
      </c>
      <c r="C97" t="inlineStr">
        <is>
          <t>Planned</t>
        </is>
      </c>
      <c r="D97" t="inlineStr">
        <is>
          <t>Devlin Technology Park</t>
        </is>
      </c>
      <c r="E97" t="inlineStr">
        <is>
          <t>REZ2022-00022</t>
        </is>
      </c>
      <c r="F97" t="inlineStr">
        <is>
          <t>7496-63-4453</t>
        </is>
      </c>
      <c r="G97" t="inlineStr">
        <is>
          <t>9000 DEVLIN RD</t>
        </is>
      </c>
      <c r="H97" t="n">
        <v>222950</v>
      </c>
      <c r="L97" t="inlineStr">
        <is>
          <t>Planned</t>
        </is>
      </c>
      <c r="N97" t="inlineStr">
        <is>
          <t>2026-04-29</t>
        </is>
      </c>
      <c r="O97" t="n">
        <v>121</v>
      </c>
      <c r="P97" t="inlineStr">
        <is>
          <t>https://gisweb.pwcva.gov/arcgis/rest/services/Planning/Build_Out_Analysis/MapServer/9/121?f=html</t>
        </is>
      </c>
      <c r="Q97" t="inlineStr">
        <is>
          <t>Planned</t>
        </is>
      </c>
    </row>
    <row r="98">
      <c r="A98" t="n">
        <v>97</v>
      </c>
      <c r="B98" t="inlineStr">
        <is>
          <t>Devlin Technology Park H</t>
        </is>
      </c>
      <c r="C98" t="inlineStr">
        <is>
          <t>Planned</t>
        </is>
      </c>
      <c r="D98" t="inlineStr">
        <is>
          <t>Devlin Technology Park</t>
        </is>
      </c>
      <c r="E98" t="inlineStr">
        <is>
          <t>REZ2022-00022</t>
        </is>
      </c>
      <c r="F98" t="inlineStr">
        <is>
          <t>7496-63-4453</t>
        </is>
      </c>
      <c r="G98" t="inlineStr">
        <is>
          <t>9000 DEVLIN RD</t>
        </is>
      </c>
      <c r="H98" t="n">
        <v>222950</v>
      </c>
      <c r="L98" t="inlineStr">
        <is>
          <t>Planned</t>
        </is>
      </c>
      <c r="N98" t="inlineStr">
        <is>
          <t>2026-04-29</t>
        </is>
      </c>
      <c r="O98" t="n">
        <v>128</v>
      </c>
      <c r="P98" t="inlineStr">
        <is>
          <t>https://gisweb.pwcva.gov/arcgis/rest/services/Planning/Build_Out_Analysis/MapServer/9/128?f=html</t>
        </is>
      </c>
      <c r="Q98" t="inlineStr">
        <is>
          <t>Planned</t>
        </is>
      </c>
    </row>
    <row r="99">
      <c r="A99" t="n">
        <v>98</v>
      </c>
      <c r="B99" t="inlineStr">
        <is>
          <t>Digital Gateway North</t>
        </is>
      </c>
      <c r="C99" t="inlineStr">
        <is>
          <t>Denied</t>
        </is>
      </c>
      <c r="D99" t="inlineStr">
        <is>
          <t>Digital Gateway North</t>
        </is>
      </c>
      <c r="E99" t="inlineStr">
        <is>
          <t>REZ2022-00032</t>
        </is>
      </c>
      <c r="H99" t="n">
        <v>583333</v>
      </c>
      <c r="J99" t="inlineStr">
        <is>
          <t>REZ2022-00032</t>
        </is>
      </c>
      <c r="L99" t="inlineStr">
        <is>
          <t>Planned</t>
        </is>
      </c>
      <c r="N99" t="inlineStr">
        <is>
          <t>2026-08-04</t>
        </is>
      </c>
      <c r="O99" t="n">
        <v>277</v>
      </c>
      <c r="P99" t="inlineStr">
        <is>
          <t>https://gisweb.pwcva.gov/arcgis/rest/services/Planning/Build_Out_Analysis/MapServer/9/277?f=html</t>
        </is>
      </c>
      <c r="Q99" t="inlineStr">
        <is>
          <t>Pending</t>
        </is>
      </c>
    </row>
    <row r="100">
      <c r="A100" t="n">
        <v>99</v>
      </c>
      <c r="B100" t="inlineStr">
        <is>
          <t>Digital Gateway North</t>
        </is>
      </c>
      <c r="C100" t="inlineStr">
        <is>
          <t>Denied</t>
        </is>
      </c>
      <c r="D100" t="inlineStr">
        <is>
          <t>Digital Gateway North</t>
        </is>
      </c>
      <c r="E100" t="inlineStr">
        <is>
          <t>REZ2022-00032</t>
        </is>
      </c>
      <c r="H100" t="n">
        <v>583333</v>
      </c>
      <c r="J100" t="inlineStr">
        <is>
          <t>REZ2022-00032</t>
        </is>
      </c>
      <c r="L100" t="inlineStr">
        <is>
          <t>Planned</t>
        </is>
      </c>
      <c r="N100" t="inlineStr">
        <is>
          <t>2026-08-04</t>
        </is>
      </c>
      <c r="O100" t="n">
        <v>278</v>
      </c>
      <c r="P100" t="inlineStr">
        <is>
          <t>https://gisweb.pwcva.gov/arcgis/rest/services/Planning/Build_Out_Analysis/MapServer/9/278?f=html</t>
        </is>
      </c>
      <c r="Q100" t="inlineStr">
        <is>
          <t>Pending</t>
        </is>
      </c>
    </row>
    <row r="101">
      <c r="A101" t="n">
        <v>100</v>
      </c>
      <c r="B101" t="inlineStr">
        <is>
          <t>Digital Gateway North</t>
        </is>
      </c>
      <c r="C101" t="inlineStr">
        <is>
          <t>Denied</t>
        </is>
      </c>
      <c r="D101" t="inlineStr">
        <is>
          <t>Digital Gateway North</t>
        </is>
      </c>
      <c r="E101" t="inlineStr">
        <is>
          <t>REZ2022-00032</t>
        </is>
      </c>
      <c r="H101" t="n">
        <v>583333</v>
      </c>
      <c r="J101" t="inlineStr">
        <is>
          <t>REZ2022-00032</t>
        </is>
      </c>
      <c r="L101" t="inlineStr">
        <is>
          <t>Planned</t>
        </is>
      </c>
      <c r="N101" t="inlineStr">
        <is>
          <t>2026-08-04</t>
        </is>
      </c>
      <c r="O101" t="n">
        <v>279</v>
      </c>
      <c r="P101" t="inlineStr">
        <is>
          <t>https://gisweb.pwcva.gov/arcgis/rest/services/Planning/Build_Out_Analysis/MapServer/9/279?f=html</t>
        </is>
      </c>
      <c r="Q101" t="inlineStr">
        <is>
          <t>Pending</t>
        </is>
      </c>
    </row>
    <row r="102">
      <c r="A102" t="n">
        <v>101</v>
      </c>
      <c r="B102" t="inlineStr">
        <is>
          <t>Digital Gateway North</t>
        </is>
      </c>
      <c r="C102" t="inlineStr">
        <is>
          <t>Denied</t>
        </is>
      </c>
      <c r="D102" t="inlineStr">
        <is>
          <t>Digital Gateway North</t>
        </is>
      </c>
      <c r="E102" t="inlineStr">
        <is>
          <t>REZ2022-00032</t>
        </is>
      </c>
      <c r="H102" t="n">
        <v>583333</v>
      </c>
      <c r="J102" t="inlineStr">
        <is>
          <t>REZ2022-00032</t>
        </is>
      </c>
      <c r="L102" t="inlineStr">
        <is>
          <t>Planned</t>
        </is>
      </c>
      <c r="N102" t="inlineStr">
        <is>
          <t>2026-08-04</t>
        </is>
      </c>
      <c r="O102" t="n">
        <v>280</v>
      </c>
      <c r="P102" t="inlineStr">
        <is>
          <t>https://gisweb.pwcva.gov/arcgis/rest/services/Planning/Build_Out_Analysis/MapServer/9/280?f=html</t>
        </is>
      </c>
      <c r="Q102" t="inlineStr">
        <is>
          <t>Pending</t>
        </is>
      </c>
    </row>
    <row r="103">
      <c r="A103" t="n">
        <v>102</v>
      </c>
      <c r="B103" t="inlineStr">
        <is>
          <t>Digital Gateway North</t>
        </is>
      </c>
      <c r="C103" t="inlineStr">
        <is>
          <t>Denied</t>
        </is>
      </c>
      <c r="D103" t="inlineStr">
        <is>
          <t>Digital Gateway North</t>
        </is>
      </c>
      <c r="E103" t="inlineStr">
        <is>
          <t>REZ2022-00032</t>
        </is>
      </c>
      <c r="H103" t="n">
        <v>583333</v>
      </c>
      <c r="J103" t="inlineStr">
        <is>
          <t>REZ2022-00032</t>
        </is>
      </c>
      <c r="L103" t="inlineStr">
        <is>
          <t>Planned</t>
        </is>
      </c>
      <c r="N103" t="inlineStr">
        <is>
          <t>2026-08-04</t>
        </is>
      </c>
      <c r="O103" t="n">
        <v>281</v>
      </c>
      <c r="P103" t="inlineStr">
        <is>
          <t>https://gisweb.pwcva.gov/arcgis/rest/services/Planning/Build_Out_Analysis/MapServer/9/281?f=html</t>
        </is>
      </c>
      <c r="Q103" t="inlineStr">
        <is>
          <t>Pending</t>
        </is>
      </c>
    </row>
    <row r="104">
      <c r="A104" t="n">
        <v>103</v>
      </c>
      <c r="B104" t="inlineStr">
        <is>
          <t>Digital Gateway North</t>
        </is>
      </c>
      <c r="C104" t="inlineStr">
        <is>
          <t>Denied</t>
        </is>
      </c>
      <c r="D104" t="inlineStr">
        <is>
          <t>Digital Gateway North</t>
        </is>
      </c>
      <c r="E104" t="inlineStr">
        <is>
          <t>REZ2022-00032</t>
        </is>
      </c>
      <c r="H104" t="n">
        <v>583333</v>
      </c>
      <c r="J104" t="inlineStr">
        <is>
          <t>REZ2022-00032</t>
        </is>
      </c>
      <c r="L104" t="inlineStr">
        <is>
          <t>Planned</t>
        </is>
      </c>
      <c r="N104" t="inlineStr">
        <is>
          <t>2026-08-04</t>
        </is>
      </c>
      <c r="O104" t="n">
        <v>290</v>
      </c>
      <c r="P104" t="inlineStr">
        <is>
          <t>https://gisweb.pwcva.gov/arcgis/rest/services/Planning/Build_Out_Analysis/MapServer/9/290?f=html</t>
        </is>
      </c>
      <c r="Q104" t="inlineStr">
        <is>
          <t>Pending</t>
        </is>
      </c>
    </row>
    <row r="105">
      <c r="A105" t="n">
        <v>104</v>
      </c>
      <c r="B105" t="inlineStr">
        <is>
          <t>Digital Gateway North</t>
        </is>
      </c>
      <c r="C105" t="inlineStr">
        <is>
          <t>Denied</t>
        </is>
      </c>
      <c r="D105" t="inlineStr">
        <is>
          <t>Digital Gateway North</t>
        </is>
      </c>
      <c r="E105" t="inlineStr">
        <is>
          <t>REZ2022-00032</t>
        </is>
      </c>
      <c r="H105" t="n">
        <v>583333</v>
      </c>
      <c r="J105" t="inlineStr">
        <is>
          <t>REZ2022-00032</t>
        </is>
      </c>
      <c r="L105" t="inlineStr">
        <is>
          <t>Planned</t>
        </is>
      </c>
      <c r="N105" t="inlineStr">
        <is>
          <t>2026-08-04</t>
        </is>
      </c>
      <c r="O105" t="n">
        <v>291</v>
      </c>
      <c r="P105" t="inlineStr">
        <is>
          <t>https://gisweb.pwcva.gov/arcgis/rest/services/Planning/Build_Out_Analysis/MapServer/9/291?f=html</t>
        </is>
      </c>
      <c r="Q105" t="inlineStr">
        <is>
          <t>Pending</t>
        </is>
      </c>
    </row>
    <row r="106">
      <c r="A106" t="n">
        <v>105</v>
      </c>
      <c r="B106" t="inlineStr">
        <is>
          <t>Digital Gateway North</t>
        </is>
      </c>
      <c r="C106" t="inlineStr">
        <is>
          <t>Denied</t>
        </is>
      </c>
      <c r="D106" t="inlineStr">
        <is>
          <t>Digital Gateway North</t>
        </is>
      </c>
      <c r="E106" t="inlineStr">
        <is>
          <t>REZ2022-00032</t>
        </is>
      </c>
      <c r="H106" t="n">
        <v>583333</v>
      </c>
      <c r="J106" t="inlineStr">
        <is>
          <t>REZ2022-00032</t>
        </is>
      </c>
      <c r="L106" t="inlineStr">
        <is>
          <t>Planned</t>
        </is>
      </c>
      <c r="N106" t="inlineStr">
        <is>
          <t>2026-08-04</t>
        </is>
      </c>
      <c r="O106" t="n">
        <v>292</v>
      </c>
      <c r="P106" t="inlineStr">
        <is>
          <t>https://gisweb.pwcva.gov/arcgis/rest/services/Planning/Build_Out_Analysis/MapServer/9/292?f=html</t>
        </is>
      </c>
      <c r="Q106" t="inlineStr">
        <is>
          <t>Pending</t>
        </is>
      </c>
    </row>
    <row r="107">
      <c r="A107" t="n">
        <v>106</v>
      </c>
      <c r="B107" t="inlineStr">
        <is>
          <t>Digital Gateway North</t>
        </is>
      </c>
      <c r="C107" t="inlineStr">
        <is>
          <t>Denied</t>
        </is>
      </c>
      <c r="D107" t="inlineStr">
        <is>
          <t>Digital Gateway North</t>
        </is>
      </c>
      <c r="E107" t="inlineStr">
        <is>
          <t>REZ2022-00032</t>
        </is>
      </c>
      <c r="H107" t="n">
        <v>583333</v>
      </c>
      <c r="J107" t="inlineStr">
        <is>
          <t>REZ2022-00032</t>
        </is>
      </c>
      <c r="L107" t="inlineStr">
        <is>
          <t>Planned</t>
        </is>
      </c>
      <c r="N107" t="inlineStr">
        <is>
          <t>2026-08-04</t>
        </is>
      </c>
      <c r="O107" t="n">
        <v>293</v>
      </c>
      <c r="P107" t="inlineStr">
        <is>
          <t>https://gisweb.pwcva.gov/arcgis/rest/services/Planning/Build_Out_Analysis/MapServer/9/293?f=html</t>
        </is>
      </c>
      <c r="Q107" t="inlineStr">
        <is>
          <t>Pending</t>
        </is>
      </c>
    </row>
    <row r="108">
      <c r="A108" t="n">
        <v>107</v>
      </c>
      <c r="B108" t="inlineStr">
        <is>
          <t>Digital Gateway North</t>
        </is>
      </c>
      <c r="C108" t="inlineStr">
        <is>
          <t>Denied</t>
        </is>
      </c>
      <c r="D108" t="inlineStr">
        <is>
          <t>Digital Gateway North</t>
        </is>
      </c>
      <c r="E108" t="inlineStr">
        <is>
          <t>REZ2022-00032</t>
        </is>
      </c>
      <c r="H108" t="n">
        <v>583333</v>
      </c>
      <c r="J108" t="inlineStr">
        <is>
          <t>REZ2022-00032</t>
        </is>
      </c>
      <c r="L108" t="inlineStr">
        <is>
          <t>Planned</t>
        </is>
      </c>
      <c r="N108" t="inlineStr">
        <is>
          <t>2026-08-04</t>
        </is>
      </c>
      <c r="O108" t="n">
        <v>294</v>
      </c>
      <c r="P108" t="inlineStr">
        <is>
          <t>https://gisweb.pwcva.gov/arcgis/rest/services/Planning/Build_Out_Analysis/MapServer/9/294?f=html</t>
        </is>
      </c>
      <c r="Q108" t="inlineStr">
        <is>
          <t>Pending</t>
        </is>
      </c>
    </row>
    <row r="109">
      <c r="A109" t="n">
        <v>108</v>
      </c>
      <c r="B109" t="inlineStr">
        <is>
          <t>Digital Gateway North</t>
        </is>
      </c>
      <c r="C109" t="inlineStr">
        <is>
          <t>Denied</t>
        </is>
      </c>
      <c r="D109" t="inlineStr">
        <is>
          <t>Digital Gateway North</t>
        </is>
      </c>
      <c r="E109" t="inlineStr">
        <is>
          <t>REZ2022-00032</t>
        </is>
      </c>
      <c r="H109" t="n">
        <v>583333</v>
      </c>
      <c r="J109" t="inlineStr">
        <is>
          <t>REZ2022-00032</t>
        </is>
      </c>
      <c r="L109" t="inlineStr">
        <is>
          <t>Planned</t>
        </is>
      </c>
      <c r="N109" t="inlineStr">
        <is>
          <t>2026-08-04</t>
        </is>
      </c>
      <c r="O109" t="n">
        <v>295</v>
      </c>
      <c r="P109" t="inlineStr">
        <is>
          <t>https://gisweb.pwcva.gov/arcgis/rest/services/Planning/Build_Out_Analysis/MapServer/9/295?f=html</t>
        </is>
      </c>
      <c r="Q109" t="inlineStr">
        <is>
          <t>Pending</t>
        </is>
      </c>
    </row>
    <row r="110">
      <c r="A110" t="n">
        <v>109</v>
      </c>
      <c r="B110" t="inlineStr">
        <is>
          <t>Digital Gateway North</t>
        </is>
      </c>
      <c r="C110" t="inlineStr">
        <is>
          <t>Denied</t>
        </is>
      </c>
      <c r="D110" t="inlineStr">
        <is>
          <t>Digital Gateway North</t>
        </is>
      </c>
      <c r="E110" t="inlineStr">
        <is>
          <t>REZ2022-00032</t>
        </is>
      </c>
      <c r="H110" t="n">
        <v>583333</v>
      </c>
      <c r="J110" t="inlineStr">
        <is>
          <t>REZ2022-00032</t>
        </is>
      </c>
      <c r="L110" t="inlineStr">
        <is>
          <t>Planned</t>
        </is>
      </c>
      <c r="N110" t="inlineStr">
        <is>
          <t>2026-08-04</t>
        </is>
      </c>
      <c r="O110" t="n">
        <v>296</v>
      </c>
      <c r="P110" t="inlineStr">
        <is>
          <t>https://gisweb.pwcva.gov/arcgis/rest/services/Planning/Build_Out_Analysis/MapServer/9/296?f=html</t>
        </is>
      </c>
      <c r="Q110" t="inlineStr">
        <is>
          <t>Pending</t>
        </is>
      </c>
    </row>
    <row r="111">
      <c r="A111" t="n">
        <v>110</v>
      </c>
      <c r="B111" t="inlineStr">
        <is>
          <t>Digital Gateway South</t>
        </is>
      </c>
      <c r="C111" t="inlineStr">
        <is>
          <t>Denied</t>
        </is>
      </c>
      <c r="D111" t="inlineStr">
        <is>
          <t>Digital Gateway South</t>
        </is>
      </c>
      <c r="E111" t="inlineStr">
        <is>
          <t>REZ2022-00033</t>
        </is>
      </c>
      <c r="H111" t="n">
        <v>462500</v>
      </c>
      <c r="J111" t="inlineStr">
        <is>
          <t>REZ2022-00033</t>
        </is>
      </c>
      <c r="L111" t="inlineStr">
        <is>
          <t>Planned</t>
        </is>
      </c>
      <c r="N111" t="inlineStr">
        <is>
          <t>2026-08-04</t>
        </is>
      </c>
      <c r="O111" t="n">
        <v>282</v>
      </c>
      <c r="P111" t="inlineStr">
        <is>
          <t>https://gisweb.pwcva.gov/arcgis/rest/services/Planning/Build_Out_Analysis/MapServer/9/282?f=html</t>
        </is>
      </c>
      <c r="Q111" t="inlineStr">
        <is>
          <t>Pending</t>
        </is>
      </c>
    </row>
    <row r="112">
      <c r="A112" t="n">
        <v>111</v>
      </c>
      <c r="B112" t="inlineStr">
        <is>
          <t>Digital Gateway South</t>
        </is>
      </c>
      <c r="C112" t="inlineStr">
        <is>
          <t>Denied</t>
        </is>
      </c>
      <c r="D112" t="inlineStr">
        <is>
          <t>Digital Gateway South</t>
        </is>
      </c>
      <c r="E112" t="inlineStr">
        <is>
          <t>REZ2022-00033</t>
        </is>
      </c>
      <c r="H112" t="n">
        <v>462500</v>
      </c>
      <c r="J112" t="inlineStr">
        <is>
          <t>REZ2022-00033</t>
        </is>
      </c>
      <c r="L112" t="inlineStr">
        <is>
          <t>Planned</t>
        </is>
      </c>
      <c r="N112" t="inlineStr">
        <is>
          <t>2026-08-04</t>
        </is>
      </c>
      <c r="O112" t="n">
        <v>283</v>
      </c>
      <c r="P112" t="inlineStr">
        <is>
          <t>https://gisweb.pwcva.gov/arcgis/rest/services/Planning/Build_Out_Analysis/MapServer/9/283?f=html</t>
        </is>
      </c>
      <c r="Q112" t="inlineStr">
        <is>
          <t>Pending</t>
        </is>
      </c>
    </row>
    <row r="113">
      <c r="A113" t="n">
        <v>112</v>
      </c>
      <c r="B113" t="inlineStr">
        <is>
          <t>Digital Gateway South</t>
        </is>
      </c>
      <c r="C113" t="inlineStr">
        <is>
          <t>Denied</t>
        </is>
      </c>
      <c r="D113" t="inlineStr">
        <is>
          <t>Digital Gateway South</t>
        </is>
      </c>
      <c r="E113" t="inlineStr">
        <is>
          <t>REZ2022-00033</t>
        </is>
      </c>
      <c r="H113" t="n">
        <v>462500</v>
      </c>
      <c r="J113" t="inlineStr">
        <is>
          <t>REZ2022-00033</t>
        </is>
      </c>
      <c r="L113" t="inlineStr">
        <is>
          <t>Planned</t>
        </is>
      </c>
      <c r="N113" t="inlineStr">
        <is>
          <t>2026-08-04</t>
        </is>
      </c>
      <c r="O113" t="n">
        <v>284</v>
      </c>
      <c r="P113" t="inlineStr">
        <is>
          <t>https://gisweb.pwcva.gov/arcgis/rest/services/Planning/Build_Out_Analysis/MapServer/9/284?f=html</t>
        </is>
      </c>
      <c r="Q113" t="inlineStr">
        <is>
          <t>Pending</t>
        </is>
      </c>
    </row>
    <row r="114">
      <c r="A114" t="n">
        <v>113</v>
      </c>
      <c r="B114" t="inlineStr">
        <is>
          <t>Digital Gateway South</t>
        </is>
      </c>
      <c r="C114" t="inlineStr">
        <is>
          <t>Denied</t>
        </is>
      </c>
      <c r="D114" t="inlineStr">
        <is>
          <t>Digital Gateway South</t>
        </is>
      </c>
      <c r="E114" t="inlineStr">
        <is>
          <t>REZ2022-00033</t>
        </is>
      </c>
      <c r="H114" t="n">
        <v>462500</v>
      </c>
      <c r="J114" t="inlineStr">
        <is>
          <t>REZ2022-00033</t>
        </is>
      </c>
      <c r="L114" t="inlineStr">
        <is>
          <t>Planned</t>
        </is>
      </c>
      <c r="N114" t="inlineStr">
        <is>
          <t>2026-08-04</t>
        </is>
      </c>
      <c r="O114" t="n">
        <v>285</v>
      </c>
      <c r="P114" t="inlineStr">
        <is>
          <t>https://gisweb.pwcva.gov/arcgis/rest/services/Planning/Build_Out_Analysis/MapServer/9/285?f=html</t>
        </is>
      </c>
      <c r="Q114" t="inlineStr">
        <is>
          <t>Pending</t>
        </is>
      </c>
    </row>
    <row r="115">
      <c r="A115" t="n">
        <v>114</v>
      </c>
      <c r="B115" t="inlineStr">
        <is>
          <t>Digital Gateway South</t>
        </is>
      </c>
      <c r="C115" t="inlineStr">
        <is>
          <t>Denied</t>
        </is>
      </c>
      <c r="D115" t="inlineStr">
        <is>
          <t>Digital Gateway South</t>
        </is>
      </c>
      <c r="E115" t="inlineStr">
        <is>
          <t>REZ2022-00033</t>
        </is>
      </c>
      <c r="H115" t="n">
        <v>462500</v>
      </c>
      <c r="J115" t="inlineStr">
        <is>
          <t>REZ2022-00033</t>
        </is>
      </c>
      <c r="L115" t="inlineStr">
        <is>
          <t>Planned</t>
        </is>
      </c>
      <c r="N115" t="inlineStr">
        <is>
          <t>2026-08-04</t>
        </is>
      </c>
      <c r="O115" t="n">
        <v>286</v>
      </c>
      <c r="P115" t="inlineStr">
        <is>
          <t>https://gisweb.pwcva.gov/arcgis/rest/services/Planning/Build_Out_Analysis/MapServer/9/286?f=html</t>
        </is>
      </c>
      <c r="Q115" t="inlineStr">
        <is>
          <t>Pending</t>
        </is>
      </c>
    </row>
    <row r="116">
      <c r="A116" t="n">
        <v>115</v>
      </c>
      <c r="B116" t="inlineStr">
        <is>
          <t>Digital Gateway South</t>
        </is>
      </c>
      <c r="C116" t="inlineStr">
        <is>
          <t>Denied</t>
        </is>
      </c>
      <c r="D116" t="inlineStr">
        <is>
          <t>Digital Gateway South</t>
        </is>
      </c>
      <c r="E116" t="inlineStr">
        <is>
          <t>REZ2022-00033</t>
        </is>
      </c>
      <c r="H116" t="n">
        <v>462500</v>
      </c>
      <c r="J116" t="inlineStr">
        <is>
          <t>REZ2022-00033</t>
        </is>
      </c>
      <c r="L116" t="inlineStr">
        <is>
          <t>Planned</t>
        </is>
      </c>
      <c r="N116" t="inlineStr">
        <is>
          <t>2026-08-04</t>
        </is>
      </c>
      <c r="O116" t="n">
        <v>287</v>
      </c>
      <c r="P116" t="inlineStr">
        <is>
          <t>https://gisweb.pwcva.gov/arcgis/rest/services/Planning/Build_Out_Analysis/MapServer/9/287?f=html</t>
        </is>
      </c>
      <c r="Q116" t="inlineStr">
        <is>
          <t>Pending</t>
        </is>
      </c>
    </row>
    <row r="117">
      <c r="A117" t="n">
        <v>116</v>
      </c>
      <c r="B117" t="inlineStr">
        <is>
          <t>Digital Gateway South</t>
        </is>
      </c>
      <c r="C117" t="inlineStr">
        <is>
          <t>Denied</t>
        </is>
      </c>
      <c r="D117" t="inlineStr">
        <is>
          <t>Digital Gateway South</t>
        </is>
      </c>
      <c r="E117" t="inlineStr">
        <is>
          <t>REZ2022-00033</t>
        </is>
      </c>
      <c r="H117" t="n">
        <v>462500</v>
      </c>
      <c r="J117" t="inlineStr">
        <is>
          <t>REZ2022-00033</t>
        </is>
      </c>
      <c r="L117" t="inlineStr">
        <is>
          <t>Planned</t>
        </is>
      </c>
      <c r="N117" t="inlineStr">
        <is>
          <t>2026-08-04</t>
        </is>
      </c>
      <c r="O117" t="n">
        <v>288</v>
      </c>
      <c r="P117" t="inlineStr">
        <is>
          <t>https://gisweb.pwcva.gov/arcgis/rest/services/Planning/Build_Out_Analysis/MapServer/9/288?f=html</t>
        </is>
      </c>
      <c r="Q117" t="inlineStr">
        <is>
          <t>Pending</t>
        </is>
      </c>
    </row>
    <row r="118">
      <c r="A118" t="n">
        <v>117</v>
      </c>
      <c r="B118" t="inlineStr">
        <is>
          <t>Digital Gateway South</t>
        </is>
      </c>
      <c r="C118" t="inlineStr">
        <is>
          <t>Denied</t>
        </is>
      </c>
      <c r="D118" t="inlineStr">
        <is>
          <t>Digital Gateway South</t>
        </is>
      </c>
      <c r="E118" t="inlineStr">
        <is>
          <t>REZ2022-00033</t>
        </is>
      </c>
      <c r="H118" t="n">
        <v>462500</v>
      </c>
      <c r="J118" t="inlineStr">
        <is>
          <t>REZ2022-00033</t>
        </is>
      </c>
      <c r="L118" t="inlineStr">
        <is>
          <t>Planned</t>
        </is>
      </c>
      <c r="N118" t="inlineStr">
        <is>
          <t>2026-08-04</t>
        </is>
      </c>
      <c r="O118" t="n">
        <v>289</v>
      </c>
      <c r="P118" t="inlineStr">
        <is>
          <t>https://gisweb.pwcva.gov/arcgis/rest/services/Planning/Build_Out_Analysis/MapServer/9/289?f=html</t>
        </is>
      </c>
      <c r="Q118" t="inlineStr">
        <is>
          <t>Pending</t>
        </is>
      </c>
    </row>
    <row r="119">
      <c r="A119" t="n">
        <v>118</v>
      </c>
      <c r="B119" t="inlineStr">
        <is>
          <t>DLR IAD-50</t>
        </is>
      </c>
      <c r="C119" t="inlineStr">
        <is>
          <t>Under Construction</t>
        </is>
      </c>
      <c r="D119" t="inlineStr">
        <is>
          <t>Digital Realty</t>
        </is>
      </c>
      <c r="E119" t="inlineStr">
        <is>
          <t>REZ2018-00002</t>
        </is>
      </c>
      <c r="F119" t="inlineStr">
        <is>
          <t>7695-53-6537.00</t>
        </is>
      </c>
      <c r="G119" t="inlineStr">
        <is>
          <t>10050 BRICKYARD WAY</t>
        </is>
      </c>
      <c r="H119" t="n">
        <v>816374</v>
      </c>
      <c r="J119" t="inlineStr">
        <is>
          <t>REZ2018-00002</t>
        </is>
      </c>
      <c r="K119" t="inlineStr">
        <is>
          <t>BLD2025-02545</t>
        </is>
      </c>
      <c r="L119" t="inlineStr">
        <is>
          <t>Issued</t>
        </is>
      </c>
      <c r="N119" t="inlineStr">
        <is>
          <t>2026-07-29</t>
        </is>
      </c>
      <c r="O119" t="n">
        <v>59</v>
      </c>
      <c r="P119" t="inlineStr">
        <is>
          <t>https://gisweb.pwcva.gov/arcgis/rest/services/Planning/Build_Out_Analysis/MapServer/9/59?f=html</t>
        </is>
      </c>
      <c r="Q119" t="inlineStr">
        <is>
          <t>Under Construction</t>
        </is>
      </c>
    </row>
    <row r="120">
      <c r="A120" t="n">
        <v>119</v>
      </c>
      <c r="B120" t="inlineStr">
        <is>
          <t>DLR IAD-51</t>
        </is>
      </c>
      <c r="C120" t="inlineStr">
        <is>
          <t>Completed</t>
        </is>
      </c>
      <c r="D120" t="inlineStr">
        <is>
          <t>Digital Realty</t>
        </is>
      </c>
      <c r="E120" t="inlineStr">
        <is>
          <t>REZ2018-00002</t>
        </is>
      </c>
      <c r="F120" t="inlineStr">
        <is>
          <t>7695-53-9602.00</t>
        </is>
      </c>
      <c r="G120" t="inlineStr">
        <is>
          <t>10051 BRICKYARD WAY</t>
        </is>
      </c>
      <c r="H120" t="n">
        <v>801246</v>
      </c>
      <c r="I120" t="n">
        <v>2026</v>
      </c>
      <c r="J120" t="inlineStr">
        <is>
          <t>REZ2018-00002</t>
        </is>
      </c>
      <c r="K120" t="inlineStr">
        <is>
          <t>BLD2024-02491</t>
        </is>
      </c>
      <c r="L120" t="inlineStr">
        <is>
          <t>Finaled</t>
        </is>
      </c>
      <c r="N120" t="inlineStr">
        <is>
          <t>2026-07-29</t>
        </is>
      </c>
      <c r="O120" t="n">
        <v>58</v>
      </c>
      <c r="P120" t="inlineStr">
        <is>
          <t>https://gisweb.pwcva.gov/arcgis/rest/services/Planning/Build_Out_Analysis/MapServer/9/58?f=html</t>
        </is>
      </c>
      <c r="Q120" t="inlineStr">
        <is>
          <t>Completed</t>
        </is>
      </c>
    </row>
    <row r="121">
      <c r="A121" t="n">
        <v>120</v>
      </c>
      <c r="B121" t="inlineStr">
        <is>
          <t>Digital Realty VA4</t>
        </is>
      </c>
      <c r="C121" t="inlineStr">
        <is>
          <t>Completed</t>
        </is>
      </c>
      <c r="D121" t="inlineStr">
        <is>
          <t>Digital Realty</t>
        </is>
      </c>
      <c r="E121" t="inlineStr">
        <is>
          <t>REZ1958-0021</t>
        </is>
      </c>
      <c r="F121" t="inlineStr">
        <is>
          <t>7496-07-8757</t>
        </is>
      </c>
      <c r="G121" t="inlineStr">
        <is>
          <t>8217 LINTON HALL RD</t>
        </is>
      </c>
      <c r="H121" t="n">
        <v>227465</v>
      </c>
      <c r="I121" t="n">
        <v>2002</v>
      </c>
      <c r="J121" t="inlineStr">
        <is>
          <t>REZ1958-0021</t>
        </is>
      </c>
      <c r="K121" t="inlineStr">
        <is>
          <t>BLD2001-04142</t>
        </is>
      </c>
      <c r="L121" t="inlineStr">
        <is>
          <t>Finaled</t>
        </is>
      </c>
      <c r="M121" t="inlineStr">
        <is>
          <t>2002-11-05</t>
        </is>
      </c>
      <c r="N121" t="inlineStr">
        <is>
          <t>2026-04-30</t>
        </is>
      </c>
      <c r="O121" t="n">
        <v>96</v>
      </c>
      <c r="P121" t="inlineStr">
        <is>
          <t>https://gisweb.pwcva.gov/arcgis/rest/services/Planning/Build_Out_Analysis/MapServer/9/96?f=html</t>
        </is>
      </c>
      <c r="Q121" t="inlineStr">
        <is>
          <t>Completed</t>
        </is>
      </c>
    </row>
    <row r="122">
      <c r="A122" t="n">
        <v>121</v>
      </c>
      <c r="B122" t="inlineStr">
        <is>
          <t>Digital Realty VA5</t>
        </is>
      </c>
      <c r="C122" t="inlineStr">
        <is>
          <t>Planned</t>
        </is>
      </c>
      <c r="D122" t="inlineStr">
        <is>
          <t>Digital Realty</t>
        </is>
      </c>
      <c r="E122" t="inlineStr">
        <is>
          <t>REZ1958-0021</t>
        </is>
      </c>
      <c r="F122" t="inlineStr">
        <is>
          <t>7496-07-8757</t>
        </is>
      </c>
      <c r="G122" t="inlineStr">
        <is>
          <t>8217 LINTON HALL RD</t>
        </is>
      </c>
      <c r="H122" t="n">
        <v>155427</v>
      </c>
      <c r="J122" t="inlineStr">
        <is>
          <t>REZ1958-0021</t>
        </is>
      </c>
      <c r="L122" t="inlineStr">
        <is>
          <t>Planned</t>
        </is>
      </c>
      <c r="N122" t="inlineStr">
        <is>
          <t>2026-08-21</t>
        </is>
      </c>
      <c r="O122" t="n">
        <v>243</v>
      </c>
      <c r="P122" t="inlineStr">
        <is>
          <t>https://gisweb.pwcva.gov/arcgis/rest/services/Planning/Build_Out_Analysis/MapServer/9/243?f=html</t>
        </is>
      </c>
      <c r="Q122" t="inlineStr">
        <is>
          <t>Planned</t>
        </is>
      </c>
    </row>
    <row r="123">
      <c r="A123" t="n">
        <v>122</v>
      </c>
      <c r="B123" t="inlineStr">
        <is>
          <t>Equinix Manassas DC14</t>
        </is>
      </c>
      <c r="C123" t="inlineStr">
        <is>
          <t>Completed</t>
        </is>
      </c>
      <c r="D123" t="inlineStr">
        <is>
          <t>Equinix Manassas</t>
        </is>
      </c>
      <c r="E123" t="inlineStr">
        <is>
          <t>REZ1999-0038</t>
        </is>
      </c>
      <c r="F123" t="inlineStr">
        <is>
          <t>7697-47-7005</t>
        </is>
      </c>
      <c r="G123" t="inlineStr">
        <is>
          <t>7400 INFANTRY RIDGE RD</t>
        </is>
      </c>
      <c r="H123" t="n">
        <v>109800</v>
      </c>
      <c r="I123" t="n">
        <v>2009</v>
      </c>
      <c r="J123" t="inlineStr">
        <is>
          <t>REZ1999-0038</t>
        </is>
      </c>
      <c r="K123" t="inlineStr">
        <is>
          <t>BLD2006-05319</t>
        </is>
      </c>
      <c r="L123" t="inlineStr">
        <is>
          <t>Finaled</t>
        </is>
      </c>
      <c r="M123" t="inlineStr">
        <is>
          <t>2009-10-22</t>
        </is>
      </c>
      <c r="N123" t="inlineStr">
        <is>
          <t>2026-08-14</t>
        </is>
      </c>
      <c r="O123" t="n">
        <v>154</v>
      </c>
      <c r="P123" t="inlineStr">
        <is>
          <t>https://gisweb.pwcva.gov/arcgis/rest/services/Planning/Build_Out_Analysis/MapServer/9/154?f=html</t>
        </is>
      </c>
      <c r="Q123" t="inlineStr">
        <is>
          <t>Completed</t>
        </is>
      </c>
    </row>
    <row r="124">
      <c r="A124" t="n">
        <v>123</v>
      </c>
      <c r="B124" t="inlineStr">
        <is>
          <t>Equinix Manassas DC19</t>
        </is>
      </c>
      <c r="C124" t="inlineStr">
        <is>
          <t>Planned</t>
        </is>
      </c>
      <c r="D124" t="inlineStr">
        <is>
          <t>Equinix Manassas</t>
        </is>
      </c>
      <c r="E124" t="inlineStr">
        <is>
          <t>REZ1999-0038</t>
        </is>
      </c>
      <c r="F124" t="inlineStr">
        <is>
          <t>7697-47-2201</t>
        </is>
      </c>
      <c r="G124" t="inlineStr">
        <is>
          <t>7200 INFANTRY RIDGE RD</t>
        </is>
      </c>
      <c r="H124" t="n">
        <v>174672</v>
      </c>
      <c r="J124" t="inlineStr">
        <is>
          <t>REZ1998-0027</t>
        </is>
      </c>
      <c r="K124" t="inlineStr">
        <is>
          <t>BLD2027-00758</t>
        </is>
      </c>
      <c r="L124" t="inlineStr">
        <is>
          <t>Planned</t>
        </is>
      </c>
      <c r="N124" t="inlineStr">
        <is>
          <t>2026-08-14</t>
        </is>
      </c>
      <c r="O124" t="n">
        <v>272</v>
      </c>
      <c r="P124" t="inlineStr">
        <is>
          <t>https://gisweb.pwcva.gov/arcgis/rest/services/Planning/Build_Out_Analysis/MapServer/9/272?f=html</t>
        </is>
      </c>
      <c r="Q124" t="inlineStr">
        <is>
          <t>Planned</t>
        </is>
      </c>
    </row>
    <row r="125">
      <c r="A125" t="n">
        <v>124</v>
      </c>
      <c r="B125" t="inlineStr">
        <is>
          <t>Gainesville RLC</t>
        </is>
      </c>
      <c r="C125" t="inlineStr">
        <is>
          <t>Planned</t>
        </is>
      </c>
      <c r="D125" t="inlineStr">
        <is>
          <t>Gainesville RLC Data Center</t>
        </is>
      </c>
      <c r="E125" t="inlineStr">
        <is>
          <t>REZ1958-0021</t>
        </is>
      </c>
      <c r="F125" t="inlineStr">
        <is>
          <t>7497-14-5061</t>
        </is>
      </c>
      <c r="G125" t="inlineStr">
        <is>
          <t>5547 WELLINGTON RD</t>
        </is>
      </c>
      <c r="H125" t="n">
        <v>989867</v>
      </c>
      <c r="I125" t="n">
        <v>0</v>
      </c>
      <c r="J125" t="inlineStr">
        <is>
          <t>REZ1958-0021</t>
        </is>
      </c>
      <c r="L125" t="inlineStr">
        <is>
          <t>Planned</t>
        </is>
      </c>
      <c r="N125" t="inlineStr">
        <is>
          <t>2026-04-23</t>
        </is>
      </c>
      <c r="O125" t="n">
        <v>215</v>
      </c>
      <c r="P125" t="inlineStr">
        <is>
          <t>https://gisweb.pwcva.gov/arcgis/rest/services/Planning/Build_Out_Analysis/MapServer/9/215?f=html</t>
        </is>
      </c>
      <c r="Q125" t="inlineStr">
        <is>
          <t>Planned</t>
        </is>
      </c>
    </row>
    <row r="126">
      <c r="A126" t="n">
        <v>125</v>
      </c>
      <c r="B126" t="inlineStr">
        <is>
          <t>Piney Branch 1</t>
        </is>
      </c>
      <c r="C126" t="inlineStr">
        <is>
          <t>Planned</t>
        </is>
      </c>
      <c r="D126" t="inlineStr">
        <is>
          <t>Gainesville Tech Park Piney Branch</t>
        </is>
      </c>
      <c r="E126" t="inlineStr">
        <is>
          <t>REZ2020-00011</t>
        </is>
      </c>
      <c r="F126" t="inlineStr">
        <is>
          <t>7496-68-8838</t>
        </is>
      </c>
      <c r="G126" t="inlineStr">
        <is>
          <t>8101 PINEY BRANCH LN</t>
        </is>
      </c>
      <c r="H126" t="n">
        <v>495709</v>
      </c>
      <c r="L126" t="inlineStr">
        <is>
          <t>Planned</t>
        </is>
      </c>
      <c r="N126" t="inlineStr">
        <is>
          <t>2026-02-02</t>
        </is>
      </c>
      <c r="O126" t="n">
        <v>143</v>
      </c>
      <c r="P126" t="inlineStr">
        <is>
          <t>https://gisweb.pwcva.gov/arcgis/rest/services/Planning/Build_Out_Analysis/MapServer/9/143?f=html</t>
        </is>
      </c>
      <c r="Q126" t="inlineStr">
        <is>
          <t>Planned</t>
        </is>
      </c>
    </row>
    <row r="127">
      <c r="A127" t="n">
        <v>126</v>
      </c>
      <c r="B127" t="inlineStr">
        <is>
          <t>Piney Branch 2</t>
        </is>
      </c>
      <c r="C127" t="inlineStr">
        <is>
          <t>Planned</t>
        </is>
      </c>
      <c r="D127" t="inlineStr">
        <is>
          <t>Gainesville Tech Park Piney Branch</t>
        </is>
      </c>
      <c r="E127" t="inlineStr">
        <is>
          <t>REZ2020-00011</t>
        </is>
      </c>
      <c r="F127" t="inlineStr">
        <is>
          <t>7496-68-8838</t>
        </is>
      </c>
      <c r="G127" t="inlineStr">
        <is>
          <t>8121 PINEY BRANCH LN</t>
        </is>
      </c>
      <c r="H127" t="n">
        <v>495709</v>
      </c>
      <c r="L127" t="inlineStr">
        <is>
          <t>Planned</t>
        </is>
      </c>
      <c r="N127" t="inlineStr">
        <is>
          <t>2026-04-16</t>
        </is>
      </c>
      <c r="O127" t="n">
        <v>144</v>
      </c>
      <c r="P127" t="inlineStr">
        <is>
          <t>https://gisweb.pwcva.gov/arcgis/rest/services/Planning/Build_Out_Analysis/MapServer/9/144?f=html</t>
        </is>
      </c>
      <c r="Q127" t="inlineStr">
        <is>
          <t>Planned</t>
        </is>
      </c>
    </row>
    <row r="128">
      <c r="A128" t="n">
        <v>127</v>
      </c>
      <c r="B128" t="inlineStr">
        <is>
          <t>Amazon AWS IAD A</t>
        </is>
      </c>
      <c r="C128" t="inlineStr">
        <is>
          <t>Planned</t>
        </is>
      </c>
      <c r="D128" t="inlineStr">
        <is>
          <t>Gainesville West</t>
        </is>
      </c>
      <c r="E128" t="inlineStr">
        <is>
          <t>REZ1958-0021</t>
        </is>
      </c>
      <c r="F128" t="inlineStr">
        <is>
          <t>7497-32-5305</t>
        </is>
      </c>
      <c r="G128" t="inlineStr">
        <is>
          <t>13235 SKYLARK VIEW WAY</t>
        </is>
      </c>
      <c r="H128" t="n">
        <v>244166</v>
      </c>
      <c r="J128" t="inlineStr">
        <is>
          <t>REZ1958-0021</t>
        </is>
      </c>
      <c r="K128" t="inlineStr">
        <is>
          <t>BLD2026-05277</t>
        </is>
      </c>
      <c r="L128" t="inlineStr">
        <is>
          <t>Pending</t>
        </is>
      </c>
      <c r="N128" t="inlineStr">
        <is>
          <t>2026-09-21</t>
        </is>
      </c>
      <c r="O128" t="n">
        <v>114</v>
      </c>
      <c r="P128" t="inlineStr">
        <is>
          <t>https://gisweb.pwcva.gov/arcgis/rest/services/Planning/Build_Out_Analysis/MapServer/9/114?f=html</t>
        </is>
      </c>
      <c r="Q128" t="inlineStr">
        <is>
          <t>Planned</t>
        </is>
      </c>
    </row>
    <row r="129">
      <c r="A129" t="n">
        <v>128</v>
      </c>
      <c r="B129" t="inlineStr">
        <is>
          <t>Amazon AWS IAD B</t>
        </is>
      </c>
      <c r="C129" t="inlineStr">
        <is>
          <t>Planned</t>
        </is>
      </c>
      <c r="D129" t="inlineStr">
        <is>
          <t>Gainesville West</t>
        </is>
      </c>
      <c r="E129" t="inlineStr">
        <is>
          <t>REZ1958-0021</t>
        </is>
      </c>
      <c r="F129" t="inlineStr">
        <is>
          <t>7497-32-5305</t>
        </is>
      </c>
      <c r="G129" t="inlineStr">
        <is>
          <t>13225 SKYLARK VIEW WAY</t>
        </is>
      </c>
      <c r="H129" t="n">
        <v>194729</v>
      </c>
      <c r="J129" t="inlineStr">
        <is>
          <t>REZ1958-0021</t>
        </is>
      </c>
      <c r="K129" t="inlineStr">
        <is>
          <t>BLD2027-01391</t>
        </is>
      </c>
      <c r="L129" t="inlineStr">
        <is>
          <t>Planned</t>
        </is>
      </c>
      <c r="N129" t="inlineStr">
        <is>
          <t>2026-09-21</t>
        </is>
      </c>
      <c r="O129" t="n">
        <v>78</v>
      </c>
      <c r="P129" t="inlineStr">
        <is>
          <t>https://gisweb.pwcva.gov/arcgis/rest/services/Planning/Build_Out_Analysis/MapServer/9/78?f=html</t>
        </is>
      </c>
      <c r="Q129" t="inlineStr">
        <is>
          <t>Planned</t>
        </is>
      </c>
    </row>
    <row r="130">
      <c r="A130" t="n">
        <v>129</v>
      </c>
      <c r="B130" t="inlineStr">
        <is>
          <t>Gardner Property A</t>
        </is>
      </c>
      <c r="C130" t="inlineStr">
        <is>
          <t>Pending</t>
        </is>
      </c>
      <c r="D130" t="inlineStr">
        <is>
          <t>Gardner Property</t>
        </is>
      </c>
      <c r="E130" t="inlineStr">
        <is>
          <t>REZ2023-00018</t>
        </is>
      </c>
      <c r="F130" t="inlineStr">
        <is>
          <t>7397-34-3968</t>
        </is>
      </c>
      <c r="G130" t="inlineStr">
        <is>
          <t>14414 MCGRAWS CORNER DR</t>
        </is>
      </c>
      <c r="H130" t="n">
        <v>616620</v>
      </c>
      <c r="L130" t="inlineStr">
        <is>
          <t>Planned</t>
        </is>
      </c>
      <c r="N130" t="inlineStr">
        <is>
          <t>2026-09-25</t>
        </is>
      </c>
      <c r="O130" t="n">
        <v>140</v>
      </c>
      <c r="P130" t="inlineStr">
        <is>
          <t>https://gisweb.pwcva.gov/arcgis/rest/services/Planning/Build_Out_Analysis/MapServer/9/140?f=html</t>
        </is>
      </c>
      <c r="Q130" t="inlineStr">
        <is>
          <t>Pending</t>
        </is>
      </c>
    </row>
    <row r="131">
      <c r="A131" t="n">
        <v>130</v>
      </c>
      <c r="B131" t="inlineStr">
        <is>
          <t>Gardner Property B</t>
        </is>
      </c>
      <c r="C131" t="inlineStr">
        <is>
          <t>Pending</t>
        </is>
      </c>
      <c r="D131" t="inlineStr">
        <is>
          <t>Gardner Property</t>
        </is>
      </c>
      <c r="E131" t="inlineStr">
        <is>
          <t>REZ2023-00018</t>
        </is>
      </c>
      <c r="F131" t="inlineStr">
        <is>
          <t>7397-34-3968</t>
        </is>
      </c>
      <c r="G131" t="inlineStr">
        <is>
          <t>14414 MCGRAWS CORNER DR</t>
        </is>
      </c>
      <c r="H131" t="n">
        <v>350000</v>
      </c>
      <c r="L131" t="inlineStr">
        <is>
          <t>Planned</t>
        </is>
      </c>
      <c r="N131" t="inlineStr">
        <is>
          <t>2026-09-25</t>
        </is>
      </c>
      <c r="O131" t="n">
        <v>155</v>
      </c>
      <c r="P131" t="inlineStr">
        <is>
          <t>https://gisweb.pwcva.gov/arcgis/rest/services/Planning/Build_Out_Analysis/MapServer/9/155?f=html</t>
        </is>
      </c>
      <c r="Q131" t="inlineStr">
        <is>
          <t>Pending</t>
        </is>
      </c>
    </row>
    <row r="132">
      <c r="A132" t="n">
        <v>131</v>
      </c>
      <c r="B132" t="inlineStr">
        <is>
          <t>Gardner Property C</t>
        </is>
      </c>
      <c r="C132" t="inlineStr">
        <is>
          <t>Pending</t>
        </is>
      </c>
      <c r="D132" t="inlineStr">
        <is>
          <t>Gardner Property</t>
        </is>
      </c>
      <c r="E132" t="inlineStr">
        <is>
          <t>REZ2023-00018</t>
        </is>
      </c>
      <c r="F132" t="inlineStr">
        <is>
          <t>7397-34-3968</t>
        </is>
      </c>
      <c r="G132" t="inlineStr">
        <is>
          <t>14414 MCGRAWS CORNER DR</t>
        </is>
      </c>
      <c r="H132" t="n">
        <v>500000</v>
      </c>
      <c r="L132" t="inlineStr">
        <is>
          <t>Planned</t>
        </is>
      </c>
      <c r="N132" t="inlineStr">
        <is>
          <t>2026-09-25</t>
        </is>
      </c>
      <c r="O132" t="n">
        <v>156</v>
      </c>
      <c r="P132" t="inlineStr">
        <is>
          <t>https://gisweb.pwcva.gov/arcgis/rest/services/Planning/Build_Out_Analysis/MapServer/9/156?f=html</t>
        </is>
      </c>
      <c r="Q132" t="inlineStr">
        <is>
          <t>Pending</t>
        </is>
      </c>
    </row>
    <row r="133">
      <c r="A133" t="n">
        <v>132</v>
      </c>
      <c r="B133" t="inlineStr">
        <is>
          <t>Gardner Property D</t>
        </is>
      </c>
      <c r="C133" t="inlineStr">
        <is>
          <t>Pending</t>
        </is>
      </c>
      <c r="D133" t="inlineStr">
        <is>
          <t>Gardner Property</t>
        </is>
      </c>
      <c r="E133" t="inlineStr">
        <is>
          <t>REZ2023-00018</t>
        </is>
      </c>
      <c r="F133" t="inlineStr">
        <is>
          <t>7397-34-3968</t>
        </is>
      </c>
      <c r="G133" t="inlineStr">
        <is>
          <t>14414 MCGRAWS CORNER DR</t>
        </is>
      </c>
      <c r="H133" t="n">
        <v>350000</v>
      </c>
      <c r="L133" t="inlineStr">
        <is>
          <t>Planned</t>
        </is>
      </c>
      <c r="N133" t="inlineStr">
        <is>
          <t>2026-09-25</t>
        </is>
      </c>
      <c r="O133" t="n">
        <v>157</v>
      </c>
      <c r="P133" t="inlineStr">
        <is>
          <t>https://gisweb.pwcva.gov/arcgis/rest/services/Planning/Build_Out_Analysis/MapServer/9/157?f=html</t>
        </is>
      </c>
      <c r="Q133" t="inlineStr">
        <is>
          <t>Pending</t>
        </is>
      </c>
    </row>
    <row r="134">
      <c r="A134" t="n">
        <v>133</v>
      </c>
      <c r="B134" t="inlineStr">
        <is>
          <t>Gardner Property E</t>
        </is>
      </c>
      <c r="C134" t="inlineStr">
        <is>
          <t>Pending</t>
        </is>
      </c>
      <c r="D134" t="inlineStr">
        <is>
          <t>Gardner Property</t>
        </is>
      </c>
      <c r="E134" t="inlineStr">
        <is>
          <t>REZ2023-00018</t>
        </is>
      </c>
      <c r="F134" t="inlineStr">
        <is>
          <t>7397-34-3968</t>
        </is>
      </c>
      <c r="G134" t="inlineStr">
        <is>
          <t>14414 MCGRAWS CORNER DR</t>
        </is>
      </c>
      <c r="H134" t="n">
        <v>200480</v>
      </c>
      <c r="L134" t="inlineStr">
        <is>
          <t>Planned</t>
        </is>
      </c>
      <c r="N134" t="inlineStr">
        <is>
          <t>2026-09-25</t>
        </is>
      </c>
      <c r="O134" t="n">
        <v>158</v>
      </c>
      <c r="P134" t="inlineStr">
        <is>
          <t>https://gisweb.pwcva.gov/arcgis/rest/services/Planning/Build_Out_Analysis/MapServer/9/158?f=html</t>
        </is>
      </c>
      <c r="Q134" t="inlineStr">
        <is>
          <t>Pending</t>
        </is>
      </c>
    </row>
    <row r="135">
      <c r="A135" t="n">
        <v>134</v>
      </c>
      <c r="B135" t="inlineStr">
        <is>
          <t>Stack Northern Virginia NVA05A</t>
        </is>
      </c>
      <c r="C135" t="inlineStr">
        <is>
          <t>Completed</t>
        </is>
      </c>
      <c r="D135" t="inlineStr">
        <is>
          <t>George Mason Research Park</t>
        </is>
      </c>
      <c r="E135" t="inlineStr">
        <is>
          <t>REZ2024-00009</t>
        </is>
      </c>
      <c r="F135" t="inlineStr">
        <is>
          <t>7696-30-4783</t>
        </is>
      </c>
      <c r="G135" t="inlineStr">
        <is>
          <t>9101 FREEDOM CENTER BLVD</t>
        </is>
      </c>
      <c r="H135" t="n">
        <v>270540</v>
      </c>
      <c r="I135" t="n">
        <v>2025</v>
      </c>
      <c r="J135" t="inlineStr">
        <is>
          <t>REZ2024-00009</t>
        </is>
      </c>
      <c r="K135" t="inlineStr">
        <is>
          <t>BLD2023-00562</t>
        </is>
      </c>
      <c r="L135" t="inlineStr">
        <is>
          <t>Finaled</t>
        </is>
      </c>
      <c r="M135" t="inlineStr">
        <is>
          <t>2025-07-06</t>
        </is>
      </c>
      <c r="N135" t="inlineStr">
        <is>
          <t>2026-04-21</t>
        </is>
      </c>
      <c r="O135" t="n">
        <v>32</v>
      </c>
      <c r="P135" t="inlineStr">
        <is>
          <t>https://gisweb.pwcva.gov/arcgis/rest/services/Planning/Build_Out_Analysis/MapServer/9/32?f=html</t>
        </is>
      </c>
      <c r="Q135" t="inlineStr">
        <is>
          <t>Completed</t>
        </is>
      </c>
    </row>
    <row r="136">
      <c r="A136" t="n">
        <v>135</v>
      </c>
      <c r="B136" t="inlineStr">
        <is>
          <t>Stack Northern Virginia NVA05B</t>
        </is>
      </c>
      <c r="C136" t="inlineStr">
        <is>
          <t>Under Construction</t>
        </is>
      </c>
      <c r="D136" t="inlineStr">
        <is>
          <t>George Mason Research Park</t>
        </is>
      </c>
      <c r="E136" t="inlineStr">
        <is>
          <t>REZ2024-00009</t>
        </is>
      </c>
      <c r="F136" t="inlineStr">
        <is>
          <t>7696-31-9262</t>
        </is>
      </c>
      <c r="G136" t="inlineStr">
        <is>
          <t>9001 FREEDOM CENTER BLVD</t>
        </is>
      </c>
      <c r="H136" t="n">
        <v>261558</v>
      </c>
      <c r="J136" t="inlineStr">
        <is>
          <t>REZ2024-00009</t>
        </is>
      </c>
      <c r="K136" t="inlineStr">
        <is>
          <t>BLD2025-03129</t>
        </is>
      </c>
      <c r="L136" t="inlineStr">
        <is>
          <t>Issued</t>
        </is>
      </c>
      <c r="M136" t="inlineStr">
        <is>
          <t>2025-05-08</t>
        </is>
      </c>
      <c r="N136" t="inlineStr">
        <is>
          <t>2026-04-21</t>
        </is>
      </c>
      <c r="O136" t="n">
        <v>30</v>
      </c>
      <c r="P136" t="inlineStr">
        <is>
          <t>https://gisweb.pwcva.gov/arcgis/rest/services/Planning/Build_Out_Analysis/MapServer/9/30?f=html</t>
        </is>
      </c>
      <c r="Q136" t="inlineStr">
        <is>
          <t>Under Construction</t>
        </is>
      </c>
    </row>
    <row r="137">
      <c r="A137" t="n">
        <v>136</v>
      </c>
      <c r="B137" t="inlineStr">
        <is>
          <t>Stack Northern Virginia NVA05C</t>
        </is>
      </c>
      <c r="C137" t="inlineStr">
        <is>
          <t>Under Construction</t>
        </is>
      </c>
      <c r="D137" t="inlineStr">
        <is>
          <t>George Mason Research Park</t>
        </is>
      </c>
      <c r="E137" t="inlineStr">
        <is>
          <t>REZ2024-00009</t>
        </is>
      </c>
      <c r="F137" t="inlineStr">
        <is>
          <t>7696-41-6854</t>
        </is>
      </c>
      <c r="G137" t="inlineStr">
        <is>
          <t>8930 WELLINGTON RD</t>
        </is>
      </c>
      <c r="H137" t="n">
        <v>179320</v>
      </c>
      <c r="J137" t="inlineStr">
        <is>
          <t>REZ2024-00042</t>
        </is>
      </c>
      <c r="K137" t="inlineStr">
        <is>
          <t>BLD2025-03019</t>
        </is>
      </c>
      <c r="L137" t="inlineStr">
        <is>
          <t>Issued</t>
        </is>
      </c>
      <c r="N137" t="inlineStr">
        <is>
          <t>2026-04-21</t>
        </is>
      </c>
      <c r="O137" t="n">
        <v>31</v>
      </c>
      <c r="P137" t="inlineStr">
        <is>
          <t>https://gisweb.pwcva.gov/arcgis/rest/services/Planning/Build_Out_Analysis/MapServer/9/31?f=html</t>
        </is>
      </c>
      <c r="Q137" t="inlineStr">
        <is>
          <t>Under Construction</t>
        </is>
      </c>
    </row>
    <row r="138">
      <c r="A138" t="n">
        <v>137</v>
      </c>
      <c r="B138" t="inlineStr">
        <is>
          <t>Hansen Farm North</t>
        </is>
      </c>
      <c r="C138" t="inlineStr">
        <is>
          <t>Planned</t>
        </is>
      </c>
      <c r="D138" t="inlineStr">
        <is>
          <t>Hansen Farm North</t>
        </is>
      </c>
      <c r="E138" t="inlineStr">
        <is>
          <t>REZ1958-0034</t>
        </is>
      </c>
      <c r="F138" t="inlineStr">
        <is>
          <t>7597-11-2534</t>
        </is>
      </c>
      <c r="G138" t="inlineStr">
        <is>
          <t>7751 WELLINGFORD DR</t>
        </is>
      </c>
      <c r="H138" t="n">
        <v>224900</v>
      </c>
      <c r="J138" t="inlineStr">
        <is>
          <t>REZ1958-0034</t>
        </is>
      </c>
      <c r="L138" t="inlineStr">
        <is>
          <t>Planned</t>
        </is>
      </c>
      <c r="N138" t="inlineStr">
        <is>
          <t>2026-08-03</t>
        </is>
      </c>
      <c r="O138" t="n">
        <v>216</v>
      </c>
      <c r="P138" t="inlineStr">
        <is>
          <t>https://gisweb.pwcva.gov/arcgis/rest/services/Planning/Build_Out_Analysis/MapServer/9/216?f=html</t>
        </is>
      </c>
      <c r="Q138" t="inlineStr">
        <is>
          <t>Planned</t>
        </is>
      </c>
    </row>
    <row r="139">
      <c r="A139" t="n">
        <v>138</v>
      </c>
      <c r="B139" t="inlineStr">
        <is>
          <t>Hansen Farm South</t>
        </is>
      </c>
      <c r="C139" t="inlineStr">
        <is>
          <t>Planned</t>
        </is>
      </c>
      <c r="D139" t="inlineStr">
        <is>
          <t>Hansen Farm South</t>
        </is>
      </c>
      <c r="E139" t="inlineStr">
        <is>
          <t>REZ1990-0076</t>
        </is>
      </c>
      <c r="F139" t="inlineStr">
        <is>
          <t>7497-80-5986</t>
        </is>
      </c>
      <c r="G139" t="inlineStr">
        <is>
          <t>7800 PINEY BRANCH LN BRISTOW, VA 20136</t>
        </is>
      </c>
      <c r="H139" t="n">
        <v>228140</v>
      </c>
      <c r="J139" t="inlineStr">
        <is>
          <t>REZ1990-0076</t>
        </is>
      </c>
      <c r="L139" t="inlineStr">
        <is>
          <t>Planned</t>
        </is>
      </c>
      <c r="N139" t="inlineStr">
        <is>
          <t>2026-04-17</t>
        </is>
      </c>
      <c r="O139" t="n">
        <v>220</v>
      </c>
      <c r="P139" t="inlineStr">
        <is>
          <t>https://gisweb.pwcva.gov/arcgis/rest/services/Planning/Build_Out_Analysis/MapServer/9/220?f=html</t>
        </is>
      </c>
      <c r="Q139" t="inlineStr">
        <is>
          <t>Planned</t>
        </is>
      </c>
    </row>
    <row r="140">
      <c r="A140" t="n">
        <v>139</v>
      </c>
      <c r="B140" t="inlineStr">
        <is>
          <t>Hornbaker Road 2</t>
        </is>
      </c>
      <c r="C140" t="inlineStr">
        <is>
          <t>Planned</t>
        </is>
      </c>
      <c r="D140" t="inlineStr">
        <is>
          <t>Hornbaker Road</t>
        </is>
      </c>
      <c r="E140" t="inlineStr">
        <is>
          <t>REZ2025-00014</t>
        </is>
      </c>
      <c r="F140" t="inlineStr">
        <is>
          <t>7596-81-5396</t>
        </is>
      </c>
      <c r="G140" t="inlineStr">
        <is>
          <t>9001 HORNBAKER RD</t>
        </is>
      </c>
      <c r="H140" t="n">
        <v>435760</v>
      </c>
      <c r="J140" t="inlineStr">
        <is>
          <t>REZ2025-00014</t>
        </is>
      </c>
      <c r="L140" t="inlineStr">
        <is>
          <t>Planned</t>
        </is>
      </c>
      <c r="N140" t="inlineStr">
        <is>
          <t>2026-04-13</t>
        </is>
      </c>
      <c r="O140" t="n">
        <v>204</v>
      </c>
      <c r="P140" t="inlineStr">
        <is>
          <t>https://gisweb.pwcva.gov/arcgis/rest/services/Planning/Build_Out_Analysis/MapServer/9/204?f=html</t>
        </is>
      </c>
      <c r="Q140" t="inlineStr">
        <is>
          <t>Planned</t>
        </is>
      </c>
    </row>
    <row r="141">
      <c r="A141" t="n">
        <v>140</v>
      </c>
      <c r="B141" t="inlineStr">
        <is>
          <t>Hunter Property 1</t>
        </is>
      </c>
      <c r="C141" t="inlineStr">
        <is>
          <t>Pending</t>
        </is>
      </c>
      <c r="D141" t="inlineStr">
        <is>
          <t>Hunter Property</t>
        </is>
      </c>
      <c r="E141" t="inlineStr">
        <is>
          <t>REZ2022-00019</t>
        </is>
      </c>
      <c r="F141" t="inlineStr">
        <is>
          <t>7496-25-7319</t>
        </is>
      </c>
      <c r="G141" t="inlineStr">
        <is>
          <t>8510 NIMBUS PL</t>
        </is>
      </c>
      <c r="H141" t="n">
        <v>401000</v>
      </c>
      <c r="L141" t="inlineStr">
        <is>
          <t>Planned</t>
        </is>
      </c>
      <c r="N141" t="inlineStr">
        <is>
          <t>2026-06-09</t>
        </is>
      </c>
      <c r="O141" t="n">
        <v>163</v>
      </c>
      <c r="P141" t="inlineStr">
        <is>
          <t>https://gisweb.pwcva.gov/arcgis/rest/services/Planning/Build_Out_Analysis/MapServer/9/163?f=html</t>
        </is>
      </c>
      <c r="Q141" t="inlineStr">
        <is>
          <t>Pending</t>
        </is>
      </c>
    </row>
    <row r="142">
      <c r="A142" t="n">
        <v>141</v>
      </c>
      <c r="B142" t="inlineStr">
        <is>
          <t>Hunter Property 10</t>
        </is>
      </c>
      <c r="C142" t="inlineStr">
        <is>
          <t>Pending</t>
        </is>
      </c>
      <c r="D142" t="inlineStr">
        <is>
          <t>Hunter Property</t>
        </is>
      </c>
      <c r="E142" t="inlineStr">
        <is>
          <t>REZ2022-00019</t>
        </is>
      </c>
      <c r="F142" t="inlineStr">
        <is>
          <t>7496-43-8199</t>
        </is>
      </c>
      <c r="G142" t="inlineStr">
        <is>
          <t>8675 NIMBUS PL</t>
        </is>
      </c>
      <c r="H142" t="n">
        <v>401000</v>
      </c>
      <c r="L142" t="inlineStr">
        <is>
          <t>Planned</t>
        </is>
      </c>
      <c r="N142" t="inlineStr">
        <is>
          <t>2026-06-09</t>
        </is>
      </c>
      <c r="O142" t="n">
        <v>172</v>
      </c>
      <c r="P142" t="inlineStr">
        <is>
          <t>https://gisweb.pwcva.gov/arcgis/rest/services/Planning/Build_Out_Analysis/MapServer/9/172?f=html</t>
        </is>
      </c>
      <c r="Q142" t="inlineStr">
        <is>
          <t>Pending</t>
        </is>
      </c>
    </row>
    <row r="143">
      <c r="A143" t="n">
        <v>142</v>
      </c>
      <c r="B143" t="inlineStr">
        <is>
          <t>Hunter Property 2</t>
        </is>
      </c>
      <c r="C143" t="inlineStr">
        <is>
          <t>Pending</t>
        </is>
      </c>
      <c r="D143" t="inlineStr">
        <is>
          <t>Hunter Property</t>
        </is>
      </c>
      <c r="E143" t="inlineStr">
        <is>
          <t>REZ2022-00019</t>
        </is>
      </c>
      <c r="F143" t="inlineStr">
        <is>
          <t>7496-25-7319</t>
        </is>
      </c>
      <c r="G143" t="inlineStr">
        <is>
          <t>8505 NIMBUS PL</t>
        </is>
      </c>
      <c r="H143" t="n">
        <v>401000</v>
      </c>
      <c r="L143" t="inlineStr">
        <is>
          <t>Planned</t>
        </is>
      </c>
      <c r="N143" t="inlineStr">
        <is>
          <t>2026-06-09</t>
        </is>
      </c>
      <c r="O143" t="n">
        <v>164</v>
      </c>
      <c r="P143" t="inlineStr">
        <is>
          <t>https://gisweb.pwcva.gov/arcgis/rest/services/Planning/Build_Out_Analysis/MapServer/9/164?f=html</t>
        </is>
      </c>
      <c r="Q143" t="inlineStr">
        <is>
          <t>Pending</t>
        </is>
      </c>
    </row>
    <row r="144">
      <c r="A144" t="n">
        <v>143</v>
      </c>
      <c r="B144" t="inlineStr">
        <is>
          <t>Hunter Property 3</t>
        </is>
      </c>
      <c r="C144" t="inlineStr">
        <is>
          <t>Pending</t>
        </is>
      </c>
      <c r="D144" t="inlineStr">
        <is>
          <t>Hunter Property</t>
        </is>
      </c>
      <c r="E144" t="inlineStr">
        <is>
          <t>REZ2022-00019</t>
        </is>
      </c>
      <c r="F144" t="inlineStr">
        <is>
          <t>7496-25-7319</t>
        </is>
      </c>
      <c r="G144" t="inlineStr">
        <is>
          <t>8570 NIMBUS PL</t>
        </is>
      </c>
      <c r="H144" t="n">
        <v>401000</v>
      </c>
      <c r="L144" t="inlineStr">
        <is>
          <t>Planned</t>
        </is>
      </c>
      <c r="N144" t="inlineStr">
        <is>
          <t>2026-06-09</t>
        </is>
      </c>
      <c r="O144" t="n">
        <v>169</v>
      </c>
      <c r="P144" t="inlineStr">
        <is>
          <t>https://gisweb.pwcva.gov/arcgis/rest/services/Planning/Build_Out_Analysis/MapServer/9/169?f=html</t>
        </is>
      </c>
      <c r="Q144" t="inlineStr">
        <is>
          <t>Pending</t>
        </is>
      </c>
    </row>
    <row r="145">
      <c r="A145" t="n">
        <v>144</v>
      </c>
      <c r="B145" t="inlineStr">
        <is>
          <t>Hunter Property 4</t>
        </is>
      </c>
      <c r="C145" t="inlineStr">
        <is>
          <t>Pending</t>
        </is>
      </c>
      <c r="D145" t="inlineStr">
        <is>
          <t>Hunter Property</t>
        </is>
      </c>
      <c r="E145" t="inlineStr">
        <is>
          <t>REZ2022-00019</t>
        </is>
      </c>
      <c r="F145" t="inlineStr">
        <is>
          <t>7496-25-7319</t>
        </is>
      </c>
      <c r="G145" t="inlineStr">
        <is>
          <t>8550 NIMBUS PL</t>
        </is>
      </c>
      <c r="H145" t="n">
        <v>401000</v>
      </c>
      <c r="L145" t="inlineStr">
        <is>
          <t>Planned</t>
        </is>
      </c>
      <c r="N145" t="inlineStr">
        <is>
          <t>2026-06-09</t>
        </is>
      </c>
      <c r="O145" t="n">
        <v>168</v>
      </c>
      <c r="P145" t="inlineStr">
        <is>
          <t>https://gisweb.pwcva.gov/arcgis/rest/services/Planning/Build_Out_Analysis/MapServer/9/168?f=html</t>
        </is>
      </c>
      <c r="Q145" t="inlineStr">
        <is>
          <t>Pending</t>
        </is>
      </c>
    </row>
    <row r="146">
      <c r="A146" t="n">
        <v>145</v>
      </c>
      <c r="B146" t="inlineStr">
        <is>
          <t>Hunter Property 5</t>
        </is>
      </c>
      <c r="C146" t="inlineStr">
        <is>
          <t>Pending</t>
        </is>
      </c>
      <c r="D146" t="inlineStr">
        <is>
          <t>Hunter Property</t>
        </is>
      </c>
      <c r="E146" t="inlineStr">
        <is>
          <t>REZ2022-00019</t>
        </is>
      </c>
      <c r="F146" t="inlineStr">
        <is>
          <t>7496-25-7319</t>
        </is>
      </c>
      <c r="G146" t="inlineStr">
        <is>
          <t>8530 NIMBUS PL</t>
        </is>
      </c>
      <c r="H146" t="n">
        <v>401000</v>
      </c>
      <c r="L146" t="inlineStr">
        <is>
          <t>Planned</t>
        </is>
      </c>
      <c r="N146" t="inlineStr">
        <is>
          <t>2026-06-09</t>
        </is>
      </c>
      <c r="O146" t="n">
        <v>167</v>
      </c>
      <c r="P146" t="inlineStr">
        <is>
          <t>https://gisweb.pwcva.gov/arcgis/rest/services/Planning/Build_Out_Analysis/MapServer/9/167?f=html</t>
        </is>
      </c>
      <c r="Q146" t="inlineStr">
        <is>
          <t>Pending</t>
        </is>
      </c>
    </row>
    <row r="147">
      <c r="A147" t="n">
        <v>146</v>
      </c>
      <c r="B147" t="inlineStr">
        <is>
          <t>Hunter Property 6</t>
        </is>
      </c>
      <c r="C147" t="inlineStr">
        <is>
          <t>Pending</t>
        </is>
      </c>
      <c r="D147" t="inlineStr">
        <is>
          <t>Hunter Property</t>
        </is>
      </c>
      <c r="E147" t="inlineStr">
        <is>
          <t>REZ2022-00019</t>
        </is>
      </c>
      <c r="F147" t="inlineStr">
        <is>
          <t>7496-25-7319</t>
        </is>
      </c>
      <c r="G147" t="inlineStr">
        <is>
          <t>8525 NIMBUS PL</t>
        </is>
      </c>
      <c r="H147" t="n">
        <v>401000</v>
      </c>
      <c r="L147" t="inlineStr">
        <is>
          <t>Planned</t>
        </is>
      </c>
      <c r="N147" t="inlineStr">
        <is>
          <t>2026-06-09</t>
        </is>
      </c>
      <c r="O147" t="n">
        <v>166</v>
      </c>
      <c r="P147" t="inlineStr">
        <is>
          <t>https://gisweb.pwcva.gov/arcgis/rest/services/Planning/Build_Out_Analysis/MapServer/9/166?f=html</t>
        </is>
      </c>
      <c r="Q147" t="inlineStr">
        <is>
          <t>Pending</t>
        </is>
      </c>
    </row>
    <row r="148">
      <c r="A148" t="n">
        <v>147</v>
      </c>
      <c r="B148" t="inlineStr">
        <is>
          <t>Hunter Property 7</t>
        </is>
      </c>
      <c r="C148" t="inlineStr">
        <is>
          <t>Pending</t>
        </is>
      </c>
      <c r="D148" t="inlineStr">
        <is>
          <t>Hunter Property</t>
        </is>
      </c>
      <c r="E148" t="inlineStr">
        <is>
          <t>REZ2022-00019</t>
        </is>
      </c>
      <c r="F148" t="inlineStr">
        <is>
          <t>7496-25-7319</t>
        </is>
      </c>
      <c r="G148" t="inlineStr">
        <is>
          <t>8545 NIMBUS PL</t>
        </is>
      </c>
      <c r="H148" t="n">
        <v>401000</v>
      </c>
      <c r="L148" t="inlineStr">
        <is>
          <t>Planned</t>
        </is>
      </c>
      <c r="N148" t="inlineStr">
        <is>
          <t>2026-06-09</t>
        </is>
      </c>
      <c r="O148" t="n">
        <v>165</v>
      </c>
      <c r="P148" t="inlineStr">
        <is>
          <t>https://gisweb.pwcva.gov/arcgis/rest/services/Planning/Build_Out_Analysis/MapServer/9/165?f=html</t>
        </is>
      </c>
      <c r="Q148" t="inlineStr">
        <is>
          <t>Pending</t>
        </is>
      </c>
    </row>
    <row r="149">
      <c r="A149" t="n">
        <v>148</v>
      </c>
      <c r="B149" t="inlineStr">
        <is>
          <t>Hunter Property 8</t>
        </is>
      </c>
      <c r="C149" t="inlineStr">
        <is>
          <t>Pending</t>
        </is>
      </c>
      <c r="D149" t="inlineStr">
        <is>
          <t>Hunter Property</t>
        </is>
      </c>
      <c r="E149" t="inlineStr">
        <is>
          <t>REZ2022-00019</t>
        </is>
      </c>
      <c r="F149" t="inlineStr">
        <is>
          <t>7496-43-8199</t>
        </is>
      </c>
      <c r="G149" t="inlineStr">
        <is>
          <t>8650 NIMBUS PL</t>
        </is>
      </c>
      <c r="H149" t="n">
        <v>401000</v>
      </c>
      <c r="L149" t="inlineStr">
        <is>
          <t>Planned</t>
        </is>
      </c>
      <c r="N149" t="inlineStr">
        <is>
          <t>2026-06-09</t>
        </is>
      </c>
      <c r="O149" t="n">
        <v>170</v>
      </c>
      <c r="P149" t="inlineStr">
        <is>
          <t>https://gisweb.pwcva.gov/arcgis/rest/services/Planning/Build_Out_Analysis/MapServer/9/170?f=html</t>
        </is>
      </c>
      <c r="Q149" t="inlineStr">
        <is>
          <t>Pending</t>
        </is>
      </c>
    </row>
    <row r="150">
      <c r="A150" t="n">
        <v>149</v>
      </c>
      <c r="B150" t="inlineStr">
        <is>
          <t>Hunter Property 9</t>
        </is>
      </c>
      <c r="C150" t="inlineStr">
        <is>
          <t>Pending</t>
        </is>
      </c>
      <c r="D150" t="inlineStr">
        <is>
          <t>Hunter Property</t>
        </is>
      </c>
      <c r="E150" t="inlineStr">
        <is>
          <t>REZ2022-00019</t>
        </is>
      </c>
      <c r="F150" t="inlineStr">
        <is>
          <t>7496-43-8199</t>
        </is>
      </c>
      <c r="G150" t="inlineStr">
        <is>
          <t>8670 NIMBUS PL</t>
        </is>
      </c>
      <c r="H150" t="n">
        <v>401000</v>
      </c>
      <c r="L150" t="inlineStr">
        <is>
          <t>Planned</t>
        </is>
      </c>
      <c r="N150" t="inlineStr">
        <is>
          <t>2026-06-09</t>
        </is>
      </c>
      <c r="O150" t="n">
        <v>171</v>
      </c>
      <c r="P150" t="inlineStr">
        <is>
          <t>https://gisweb.pwcva.gov/arcgis/rest/services/Planning/Build_Out_Analysis/MapServer/9/171?f=html</t>
        </is>
      </c>
      <c r="Q150" t="inlineStr">
        <is>
          <t>Pending</t>
        </is>
      </c>
    </row>
    <row r="151">
      <c r="A151" t="n">
        <v>150</v>
      </c>
      <c r="B151" t="inlineStr">
        <is>
          <t>Innovation on the Parkway</t>
        </is>
      </c>
      <c r="C151" t="inlineStr">
        <is>
          <t>Planned</t>
        </is>
      </c>
      <c r="D151" t="inlineStr">
        <is>
          <t>Innovation on the Parkway</t>
        </is>
      </c>
      <c r="E151" t="inlineStr">
        <is>
          <t>REZ2023-00001</t>
        </is>
      </c>
      <c r="F151" t="inlineStr">
        <is>
          <t>7695-09-7902</t>
        </is>
      </c>
      <c r="G151" t="inlineStr">
        <is>
          <t>11101 UNIVERSITY BLVD</t>
        </is>
      </c>
      <c r="H151" t="n">
        <v>576952</v>
      </c>
      <c r="L151" t="inlineStr">
        <is>
          <t>Planned</t>
        </is>
      </c>
      <c r="N151" t="inlineStr">
        <is>
          <t>2026-01-22</t>
        </is>
      </c>
      <c r="O151" t="n">
        <v>129</v>
      </c>
      <c r="P151" t="inlineStr">
        <is>
          <t>https://gisweb.pwcva.gov/arcgis/rest/services/Planning/Build_Out_Analysis/MapServer/9/129?f=html</t>
        </is>
      </c>
      <c r="Q151" t="inlineStr">
        <is>
          <t>Planned</t>
        </is>
      </c>
    </row>
    <row r="152">
      <c r="A152" t="n">
        <v>151</v>
      </c>
      <c r="B152" t="inlineStr">
        <is>
          <t>Iron Mountain Data Center VA-1</t>
        </is>
      </c>
      <c r="C152" t="inlineStr">
        <is>
          <t>Completed</t>
        </is>
      </c>
      <c r="D152" t="inlineStr">
        <is>
          <t>Iron Mountain</t>
        </is>
      </c>
      <c r="E152" t="inlineStr">
        <is>
          <t>REZ2021-00022</t>
        </is>
      </c>
      <c r="F152" t="inlineStr">
        <is>
          <t>7596-47-5780</t>
        </is>
      </c>
      <c r="G152" t="inlineStr">
        <is>
          <t>11680 HAYDEN RD</t>
        </is>
      </c>
      <c r="H152" t="n">
        <v>165230</v>
      </c>
      <c r="I152" t="n">
        <v>2017</v>
      </c>
      <c r="K152" t="inlineStr">
        <is>
          <t>BLD2017-00581</t>
        </is>
      </c>
      <c r="L152" t="inlineStr">
        <is>
          <t>Finaled</t>
        </is>
      </c>
      <c r="M152" t="inlineStr">
        <is>
          <t>2017-09-23</t>
        </is>
      </c>
      <c r="N152" t="inlineStr">
        <is>
          <t>2026-08-21</t>
        </is>
      </c>
      <c r="O152" t="n">
        <v>1</v>
      </c>
      <c r="P152" t="inlineStr">
        <is>
          <t>https://gisweb.pwcva.gov/arcgis/rest/services/Planning/Build_Out_Analysis/MapServer/9/1?f=html</t>
        </is>
      </c>
      <c r="Q152" t="inlineStr">
        <is>
          <t>Completed</t>
        </is>
      </c>
    </row>
    <row r="153">
      <c r="A153" t="n">
        <v>152</v>
      </c>
      <c r="B153" t="inlineStr">
        <is>
          <t>Iron Mountain Data Center VA-10</t>
        </is>
      </c>
      <c r="C153" t="inlineStr">
        <is>
          <t>Completed</t>
        </is>
      </c>
      <c r="D153" t="inlineStr">
        <is>
          <t>Iron Mountain</t>
        </is>
      </c>
      <c r="E153" t="inlineStr">
        <is>
          <t>REZ2021-00022</t>
        </is>
      </c>
      <c r="F153" t="inlineStr">
        <is>
          <t>7596-64-6285</t>
        </is>
      </c>
      <c r="G153" t="inlineStr">
        <is>
          <t>11451 ELEVATE DR</t>
        </is>
      </c>
      <c r="H153" t="n">
        <v>33574</v>
      </c>
      <c r="I153" t="n">
        <v>2025</v>
      </c>
      <c r="K153" t="inlineStr">
        <is>
          <t>BLD2024-02696</t>
        </is>
      </c>
      <c r="L153" t="inlineStr">
        <is>
          <t>Finaled</t>
        </is>
      </c>
      <c r="M153" t="inlineStr">
        <is>
          <t>2025-06-25</t>
        </is>
      </c>
      <c r="N153" t="inlineStr">
        <is>
          <t>2026-08-21</t>
        </is>
      </c>
      <c r="O153" t="n">
        <v>88</v>
      </c>
      <c r="P153" t="inlineStr">
        <is>
          <t>https://gisweb.pwcva.gov/arcgis/rest/services/Planning/Build_Out_Analysis/MapServer/9/88?f=html</t>
        </is>
      </c>
      <c r="Q153" t="inlineStr">
        <is>
          <t>Completed</t>
        </is>
      </c>
    </row>
    <row r="154">
      <c r="A154" t="n">
        <v>153</v>
      </c>
      <c r="B154" t="inlineStr">
        <is>
          <t>Iron Mountain Data Center VA-2</t>
        </is>
      </c>
      <c r="C154" t="inlineStr">
        <is>
          <t>Completed</t>
        </is>
      </c>
      <c r="D154" t="inlineStr">
        <is>
          <t>Iron Mountain</t>
        </is>
      </c>
      <c r="E154" t="inlineStr">
        <is>
          <t>REZ2021-00022</t>
        </is>
      </c>
      <c r="F154" t="inlineStr">
        <is>
          <t>7596-57-4735</t>
        </is>
      </c>
      <c r="G154" t="inlineStr">
        <is>
          <t>11660 HAYDEN RD</t>
        </is>
      </c>
      <c r="H154" t="n">
        <v>325918</v>
      </c>
      <c r="I154" t="n">
        <v>2019</v>
      </c>
      <c r="K154" t="inlineStr">
        <is>
          <t>BLD2018-04430</t>
        </is>
      </c>
      <c r="L154" t="inlineStr">
        <is>
          <t>Finaled</t>
        </is>
      </c>
      <c r="M154" t="inlineStr">
        <is>
          <t>2019-10-23</t>
        </is>
      </c>
      <c r="N154" t="inlineStr">
        <is>
          <t>2026-08-21</t>
        </is>
      </c>
      <c r="O154" t="n">
        <v>2</v>
      </c>
      <c r="P154" t="inlineStr">
        <is>
          <t>https://gisweb.pwcva.gov/arcgis/rest/services/Planning/Build_Out_Analysis/MapServer/9/2?f=html</t>
        </is>
      </c>
      <c r="Q154" t="inlineStr">
        <is>
          <t>Completed</t>
        </is>
      </c>
    </row>
    <row r="155">
      <c r="A155" t="n">
        <v>154</v>
      </c>
      <c r="B155" t="inlineStr">
        <is>
          <t>Iron Mountain Data Center VA-3</t>
        </is>
      </c>
      <c r="C155" t="inlineStr">
        <is>
          <t>Completed</t>
        </is>
      </c>
      <c r="D155" t="inlineStr">
        <is>
          <t>Iron Mountain</t>
        </is>
      </c>
      <c r="E155" t="inlineStr">
        <is>
          <t>REZ2021-00022</t>
        </is>
      </c>
      <c r="F155" t="inlineStr">
        <is>
          <t>7596-56-1578</t>
        </is>
      </c>
      <c r="G155" t="inlineStr">
        <is>
          <t>11640 HAYDEN RD</t>
        </is>
      </c>
      <c r="H155" t="n">
        <v>389649</v>
      </c>
      <c r="I155" t="n">
        <v>2024</v>
      </c>
      <c r="K155" t="inlineStr">
        <is>
          <t>BLD2023-00509</t>
        </is>
      </c>
      <c r="L155" t="inlineStr">
        <is>
          <t>Finaled</t>
        </is>
      </c>
      <c r="M155" t="inlineStr">
        <is>
          <t>2024-09-24</t>
        </is>
      </c>
      <c r="N155" t="inlineStr">
        <is>
          <t>2026-08-21</t>
        </is>
      </c>
      <c r="O155" t="n">
        <v>3</v>
      </c>
      <c r="P155" t="inlineStr">
        <is>
          <t>https://gisweb.pwcva.gov/arcgis/rest/services/Planning/Build_Out_Analysis/MapServer/9/3?f=html</t>
        </is>
      </c>
      <c r="Q155" t="inlineStr">
        <is>
          <t>Completed</t>
        </is>
      </c>
    </row>
    <row r="156">
      <c r="A156" t="n">
        <v>155</v>
      </c>
      <c r="B156" t="inlineStr">
        <is>
          <t>Iron Mountain Data Center VA-4</t>
        </is>
      </c>
      <c r="C156" t="inlineStr">
        <is>
          <t>Completed</t>
        </is>
      </c>
      <c r="D156" t="inlineStr">
        <is>
          <t>Iron Mountain</t>
        </is>
      </c>
      <c r="E156" t="inlineStr">
        <is>
          <t>REZ2021-00022</t>
        </is>
      </c>
      <c r="F156" t="inlineStr">
        <is>
          <t>7596-66-0725</t>
        </is>
      </c>
      <c r="G156" t="inlineStr">
        <is>
          <t>11600 HAYDEN RD</t>
        </is>
      </c>
      <c r="H156" t="n">
        <v>182032</v>
      </c>
      <c r="I156" t="n">
        <v>2024</v>
      </c>
      <c r="K156" t="inlineStr">
        <is>
          <t>BLD2023-03506</t>
        </is>
      </c>
      <c r="L156" t="inlineStr">
        <is>
          <t>Finaled</t>
        </is>
      </c>
      <c r="M156" t="inlineStr">
        <is>
          <t>2025-06-10</t>
        </is>
      </c>
      <c r="N156" t="inlineStr">
        <is>
          <t>2026-08-21</t>
        </is>
      </c>
      <c r="O156" t="n">
        <v>4</v>
      </c>
      <c r="P156" t="inlineStr">
        <is>
          <t>https://gisweb.pwcva.gov/arcgis/rest/services/Planning/Build_Out_Analysis/MapServer/9/4?f=html</t>
        </is>
      </c>
      <c r="Q156" t="inlineStr">
        <is>
          <t>Completed</t>
        </is>
      </c>
    </row>
    <row r="157">
      <c r="A157" t="n">
        <v>156</v>
      </c>
      <c r="B157" t="inlineStr">
        <is>
          <t>Iron Mountain Data Center VA-5</t>
        </is>
      </c>
      <c r="C157" t="inlineStr">
        <is>
          <t>Completed</t>
        </is>
      </c>
      <c r="D157" t="inlineStr">
        <is>
          <t>Iron Mountain</t>
        </is>
      </c>
      <c r="E157" t="inlineStr">
        <is>
          <t>REZ2021-00022</t>
        </is>
      </c>
      <c r="F157" t="inlineStr">
        <is>
          <t>7596-66-0725</t>
        </is>
      </c>
      <c r="G157" t="inlineStr">
        <is>
          <t>11580 HAYDEN RD</t>
        </is>
      </c>
      <c r="H157" t="n">
        <v>220134</v>
      </c>
      <c r="I157" t="n">
        <v>2025</v>
      </c>
      <c r="K157" t="inlineStr">
        <is>
          <t>BLD2023-03508</t>
        </is>
      </c>
      <c r="L157" t="inlineStr">
        <is>
          <t>Finaled</t>
        </is>
      </c>
      <c r="M157" t="inlineStr">
        <is>
          <t>2025-06-10</t>
        </is>
      </c>
      <c r="N157" t="inlineStr">
        <is>
          <t>2026-08-21</t>
        </is>
      </c>
      <c r="O157" t="n">
        <v>5</v>
      </c>
      <c r="P157" t="inlineStr">
        <is>
          <t>https://gisweb.pwcva.gov/arcgis/rest/services/Planning/Build_Out_Analysis/MapServer/9/5?f=html</t>
        </is>
      </c>
      <c r="Q157" t="inlineStr">
        <is>
          <t>Completed</t>
        </is>
      </c>
    </row>
    <row r="158">
      <c r="A158" t="n">
        <v>157</v>
      </c>
      <c r="B158" t="inlineStr">
        <is>
          <t>Iron Mountain Data Center VA-6</t>
        </is>
      </c>
      <c r="C158" t="inlineStr">
        <is>
          <t>Completed</t>
        </is>
      </c>
      <c r="D158" t="inlineStr">
        <is>
          <t>Iron Mountain</t>
        </is>
      </c>
      <c r="E158" t="inlineStr">
        <is>
          <t>REZ2021-00022</t>
        </is>
      </c>
      <c r="F158" t="inlineStr">
        <is>
          <t>7596-64-9220</t>
        </is>
      </c>
      <c r="G158" t="inlineStr">
        <is>
          <t>7745 WELLINGTON RD</t>
        </is>
      </c>
      <c r="H158" t="n">
        <v>230706</v>
      </c>
      <c r="I158" t="n">
        <v>2025</v>
      </c>
      <c r="K158" t="inlineStr">
        <is>
          <t>BLD2023-05363</t>
        </is>
      </c>
      <c r="L158" t="inlineStr">
        <is>
          <t>Finaled</t>
        </is>
      </c>
      <c r="M158" t="inlineStr">
        <is>
          <t>2025-06-17</t>
        </is>
      </c>
      <c r="N158" t="inlineStr">
        <is>
          <t>2026-08-21</t>
        </is>
      </c>
      <c r="O158" t="n">
        <v>6</v>
      </c>
      <c r="P158" t="inlineStr">
        <is>
          <t>https://gisweb.pwcva.gov/arcgis/rest/services/Planning/Build_Out_Analysis/MapServer/9/6?f=html</t>
        </is>
      </c>
      <c r="Q158" t="inlineStr">
        <is>
          <t>Completed</t>
        </is>
      </c>
    </row>
    <row r="159">
      <c r="A159" t="n">
        <v>158</v>
      </c>
      <c r="B159" t="inlineStr">
        <is>
          <t>Iron Mountain Data Center VA-7</t>
        </is>
      </c>
      <c r="C159" t="inlineStr">
        <is>
          <t>Completed</t>
        </is>
      </c>
      <c r="D159" t="inlineStr">
        <is>
          <t>Iron Mountain</t>
        </is>
      </c>
      <c r="E159" t="inlineStr">
        <is>
          <t>REZ2021-00022</t>
        </is>
      </c>
      <c r="F159" t="inlineStr">
        <is>
          <t>7596-66-8266</t>
        </is>
      </c>
      <c r="G159" t="inlineStr">
        <is>
          <t>8330 BETHLEHEM RD</t>
        </is>
      </c>
      <c r="H159" t="n">
        <v>290307</v>
      </c>
      <c r="I159" t="n">
        <v>2025</v>
      </c>
      <c r="K159" t="inlineStr">
        <is>
          <t>BLD2024-02971</t>
        </is>
      </c>
      <c r="L159" t="inlineStr">
        <is>
          <t>Finaled</t>
        </is>
      </c>
      <c r="M159" t="inlineStr">
        <is>
          <t>2025-11-18</t>
        </is>
      </c>
      <c r="N159" t="inlineStr">
        <is>
          <t>2026-08-21</t>
        </is>
      </c>
      <c r="O159" t="n">
        <v>7</v>
      </c>
      <c r="P159" t="inlineStr">
        <is>
          <t>https://gisweb.pwcva.gov/arcgis/rest/services/Planning/Build_Out_Analysis/MapServer/9/7?f=html</t>
        </is>
      </c>
      <c r="Q159" t="inlineStr">
        <is>
          <t>Completed</t>
        </is>
      </c>
    </row>
    <row r="160">
      <c r="A160" t="n">
        <v>159</v>
      </c>
      <c r="B160" t="inlineStr">
        <is>
          <t>Iron Mountain Data Center VA-8/9</t>
        </is>
      </c>
      <c r="C160" t="inlineStr">
        <is>
          <t>Planned</t>
        </is>
      </c>
      <c r="D160" t="inlineStr">
        <is>
          <t>Iron Mountain</t>
        </is>
      </c>
      <c r="E160" t="inlineStr">
        <is>
          <t>REZ2021-00022</t>
        </is>
      </c>
      <c r="F160" t="inlineStr">
        <is>
          <t>7596-55-9338</t>
        </is>
      </c>
      <c r="G160" t="inlineStr">
        <is>
          <t>11530 ELEVATE DR 100</t>
        </is>
      </c>
      <c r="H160" t="n">
        <v>342028</v>
      </c>
      <c r="I160" t="n">
        <v>0</v>
      </c>
      <c r="J160" t="inlineStr">
        <is>
          <t>REZ2024-00041</t>
        </is>
      </c>
      <c r="K160" t="inlineStr">
        <is>
          <t>&lt;Null&gt;</t>
        </is>
      </c>
      <c r="L160" t="inlineStr">
        <is>
          <t>Planned</t>
        </is>
      </c>
      <c r="N160" t="inlineStr">
        <is>
          <t>2026-08-06</t>
        </is>
      </c>
      <c r="O160" t="n">
        <v>8</v>
      </c>
      <c r="P160" t="inlineStr">
        <is>
          <t>https://gisweb.pwcva.gov/arcgis/rest/services/Planning/Build_Out_Analysis/MapServer/9/8?f=html</t>
        </is>
      </c>
      <c r="Q160" t="inlineStr">
        <is>
          <t>Planned</t>
        </is>
      </c>
    </row>
    <row r="161">
      <c r="A161" t="n">
        <v>160</v>
      </c>
      <c r="B161" t="inlineStr">
        <is>
          <t>Iron Mountain Manassas Point DC1</t>
        </is>
      </c>
      <c r="C161" t="inlineStr">
        <is>
          <t>Planned</t>
        </is>
      </c>
      <c r="D161" t="inlineStr">
        <is>
          <t>Iron Mountain Manassas Point</t>
        </is>
      </c>
      <c r="E161" t="inlineStr">
        <is>
          <t>REZ2024-00001</t>
        </is>
      </c>
      <c r="F161" t="inlineStr">
        <is>
          <t>7596-79-3589</t>
        </is>
      </c>
      <c r="G161" t="inlineStr">
        <is>
          <t>11461 CONNECTIVITY DR</t>
        </is>
      </c>
      <c r="H161" t="n">
        <v>580035</v>
      </c>
      <c r="I161" t="n">
        <v>0</v>
      </c>
      <c r="L161" t="inlineStr">
        <is>
          <t>Planned</t>
        </is>
      </c>
      <c r="N161" t="inlineStr">
        <is>
          <t>2026-04-23</t>
        </is>
      </c>
      <c r="O161" t="n">
        <v>64</v>
      </c>
      <c r="P161" t="inlineStr">
        <is>
          <t>https://gisweb.pwcva.gov/arcgis/rest/services/Planning/Build_Out_Analysis/MapServer/9/64?f=html</t>
        </is>
      </c>
      <c r="Q161" t="inlineStr">
        <is>
          <t>Planned</t>
        </is>
      </c>
    </row>
    <row r="162">
      <c r="A162" t="n">
        <v>161</v>
      </c>
      <c r="B162" t="inlineStr">
        <is>
          <t>Iron Mountain Manassas Point DC2</t>
        </is>
      </c>
      <c r="C162" t="inlineStr">
        <is>
          <t>Planned</t>
        </is>
      </c>
      <c r="D162" t="inlineStr">
        <is>
          <t>Iron Mountain Manassas Point</t>
        </is>
      </c>
      <c r="E162" t="inlineStr">
        <is>
          <t>REZ2024-00001</t>
        </is>
      </c>
      <c r="F162" t="inlineStr">
        <is>
          <t>7596-79-3589</t>
        </is>
      </c>
      <c r="G162" t="inlineStr">
        <is>
          <t>11441 CONNECTIVITY DR</t>
        </is>
      </c>
      <c r="H162" t="n">
        <v>580035</v>
      </c>
      <c r="I162" t="n">
        <v>0</v>
      </c>
      <c r="L162" t="inlineStr">
        <is>
          <t>Planned</t>
        </is>
      </c>
      <c r="N162" t="inlineStr">
        <is>
          <t>2026-04-23</t>
        </is>
      </c>
      <c r="O162" t="n">
        <v>66</v>
      </c>
      <c r="P162" t="inlineStr">
        <is>
          <t>https://gisweb.pwcva.gov/arcgis/rest/services/Planning/Build_Out_Analysis/MapServer/9/66?f=html</t>
        </is>
      </c>
      <c r="Q162" t="inlineStr">
        <is>
          <t>Planned</t>
        </is>
      </c>
    </row>
    <row r="163">
      <c r="A163" t="n">
        <v>162</v>
      </c>
      <c r="B163" t="inlineStr">
        <is>
          <t>Iron Mountain Manassas Point DC3</t>
        </is>
      </c>
      <c r="C163" t="inlineStr">
        <is>
          <t>Planned</t>
        </is>
      </c>
      <c r="D163" t="inlineStr">
        <is>
          <t>Iron Mountain Manassas Point</t>
        </is>
      </c>
      <c r="E163" t="inlineStr">
        <is>
          <t>REZ2024-00001</t>
        </is>
      </c>
      <c r="F163" t="inlineStr">
        <is>
          <t>7596-89-0058</t>
        </is>
      </c>
      <c r="G163" t="inlineStr">
        <is>
          <t>11451 CONNECTIVITY DR</t>
        </is>
      </c>
      <c r="H163" t="n">
        <v>580035</v>
      </c>
      <c r="I163" t="n">
        <v>0</v>
      </c>
      <c r="L163" t="inlineStr">
        <is>
          <t>Planned</t>
        </is>
      </c>
      <c r="N163" t="inlineStr">
        <is>
          <t>2026-04-23</t>
        </is>
      </c>
      <c r="O163" t="n">
        <v>65</v>
      </c>
      <c r="P163" t="inlineStr">
        <is>
          <t>https://gisweb.pwcva.gov/arcgis/rest/services/Planning/Build_Out_Analysis/MapServer/9/65?f=html</t>
        </is>
      </c>
      <c r="Q163" t="inlineStr">
        <is>
          <t>Planned</t>
        </is>
      </c>
    </row>
    <row r="164">
      <c r="A164" t="n">
        <v>163</v>
      </c>
      <c r="B164" t="inlineStr">
        <is>
          <t>Manassas Data Center</t>
        </is>
      </c>
      <c r="C164" t="inlineStr">
        <is>
          <t>Planned</t>
        </is>
      </c>
      <c r="D164" t="inlineStr">
        <is>
          <t>Manassas Data Center</t>
        </is>
      </c>
      <c r="E164" t="inlineStr">
        <is>
          <t>REZ1989-0038</t>
        </is>
      </c>
      <c r="F164" t="inlineStr">
        <is>
          <t>7497-03-2210</t>
        </is>
      </c>
      <c r="G164" t="inlineStr">
        <is>
          <t>3555 WELLINGTON CENTER CIR</t>
        </is>
      </c>
      <c r="H164" t="n">
        <v>460740</v>
      </c>
      <c r="J164" t="inlineStr">
        <is>
          <t>REZ1989-0038</t>
        </is>
      </c>
      <c r="L164" t="inlineStr">
        <is>
          <t>Planned</t>
        </is>
      </c>
      <c r="N164" t="inlineStr">
        <is>
          <t>2026-04-17</t>
        </is>
      </c>
      <c r="O164" t="n">
        <v>223</v>
      </c>
      <c r="P164" t="inlineStr">
        <is>
          <t>https://gisweb.pwcva.gov/arcgis/rest/services/Planning/Build_Out_Analysis/MapServer/9/223?f=html</t>
        </is>
      </c>
      <c r="Q164" t="inlineStr">
        <is>
          <t>Planned</t>
        </is>
      </c>
    </row>
    <row r="165">
      <c r="A165" t="n">
        <v>164</v>
      </c>
      <c r="B165" t="inlineStr">
        <is>
          <t>Manassas Tech Center Building A</t>
        </is>
      </c>
      <c r="C165" t="inlineStr">
        <is>
          <t>Under Construction</t>
        </is>
      </c>
      <c r="D165" t="inlineStr">
        <is>
          <t>Manassas Tech Center</t>
        </is>
      </c>
      <c r="E165" t="inlineStr">
        <is>
          <t>REZ2026-00022</t>
        </is>
      </c>
      <c r="F165" t="inlineStr">
        <is>
          <t>7596-61-8378.00</t>
        </is>
      </c>
      <c r="G165" t="inlineStr">
        <is>
          <t>8890 MIKE GARCIA DR</t>
        </is>
      </c>
      <c r="H165" t="n">
        <v>220132</v>
      </c>
      <c r="K165" t="inlineStr">
        <is>
          <t>BLD2025-00144</t>
        </is>
      </c>
      <c r="L165" t="inlineStr">
        <is>
          <t>Issued</t>
        </is>
      </c>
      <c r="N165" t="inlineStr">
        <is>
          <t>2026-04-21</t>
        </is>
      </c>
      <c r="O165" t="n">
        <v>57</v>
      </c>
      <c r="P165" t="inlineStr">
        <is>
          <t>https://gisweb.pwcva.gov/arcgis/rest/services/Planning/Build_Out_Analysis/MapServer/9/57?f=html</t>
        </is>
      </c>
      <c r="Q165" t="inlineStr">
        <is>
          <t>Under Construction</t>
        </is>
      </c>
    </row>
    <row r="166">
      <c r="A166" t="n">
        <v>165</v>
      </c>
      <c r="B166" t="inlineStr">
        <is>
          <t>Manassas Tech Center Building B</t>
        </is>
      </c>
      <c r="C166" t="inlineStr">
        <is>
          <t>Planned</t>
        </is>
      </c>
      <c r="D166" t="inlineStr">
        <is>
          <t>Manassas Tech Center</t>
        </is>
      </c>
      <c r="E166" t="inlineStr">
        <is>
          <t>REZ2026-00022</t>
        </is>
      </c>
      <c r="F166" t="inlineStr">
        <is>
          <t>7596-62-9148.00</t>
        </is>
      </c>
      <c r="G166" t="inlineStr">
        <is>
          <t>8880 MIKE GARCIA DR</t>
        </is>
      </c>
      <c r="H166" t="n">
        <v>210329</v>
      </c>
      <c r="J166" t="inlineStr">
        <is>
          <t>REZ2026-00022</t>
        </is>
      </c>
      <c r="K166" t="inlineStr">
        <is>
          <t>BLD2026-06372</t>
        </is>
      </c>
      <c r="L166" t="inlineStr">
        <is>
          <t>Planned</t>
        </is>
      </c>
      <c r="N166" t="inlineStr">
        <is>
          <t>2026-06-29</t>
        </is>
      </c>
      <c r="O166" t="n">
        <v>240</v>
      </c>
      <c r="P166" t="inlineStr">
        <is>
          <t>https://gisweb.pwcva.gov/arcgis/rest/services/Planning/Build_Out_Analysis/MapServer/9/240?f=html</t>
        </is>
      </c>
      <c r="Q166" t="inlineStr">
        <is>
          <t>Planned</t>
        </is>
      </c>
    </row>
    <row r="167">
      <c r="A167" t="n">
        <v>166</v>
      </c>
      <c r="B167" t="inlineStr">
        <is>
          <t>Manassas Tech Center Building C</t>
        </is>
      </c>
      <c r="C167" t="inlineStr">
        <is>
          <t>Planned</t>
        </is>
      </c>
      <c r="D167" t="inlineStr">
        <is>
          <t>Manassas Tech Center</t>
        </is>
      </c>
      <c r="E167" t="inlineStr">
        <is>
          <t>REZ2026-00022</t>
        </is>
      </c>
      <c r="G167" t="inlineStr">
        <is>
          <t>8881 MIKE GARCIA DR</t>
        </is>
      </c>
      <c r="H167" t="n">
        <v>256260</v>
      </c>
      <c r="L167" t="inlineStr">
        <is>
          <t>Planned</t>
        </is>
      </c>
      <c r="N167" t="inlineStr">
        <is>
          <t>2026-09-02</t>
        </is>
      </c>
      <c r="O167" t="n">
        <v>241</v>
      </c>
      <c r="P167" t="inlineStr">
        <is>
          <t>https://gisweb.pwcva.gov/arcgis/rest/services/Planning/Build_Out_Analysis/MapServer/9/241?f=html</t>
        </is>
      </c>
      <c r="Q167" t="inlineStr">
        <is>
          <t>Planned</t>
        </is>
      </c>
    </row>
    <row r="168">
      <c r="A168" t="n">
        <v>167</v>
      </c>
      <c r="B168" t="inlineStr">
        <is>
          <t>Manassas Tech Park II South</t>
        </is>
      </c>
      <c r="C168" t="inlineStr">
        <is>
          <t>Planned</t>
        </is>
      </c>
      <c r="D168" t="inlineStr">
        <is>
          <t>Manassas Tech Park II South</t>
        </is>
      </c>
      <c r="E168" t="inlineStr">
        <is>
          <t>REZ1985-0048</t>
        </is>
      </c>
      <c r="F168" t="inlineStr">
        <is>
          <t>7595-59-2712</t>
        </is>
      </c>
      <c r="G168" t="inlineStr">
        <is>
          <t>9320 INDUSTRIAL CT</t>
        </is>
      </c>
      <c r="H168" t="n">
        <v>198500</v>
      </c>
      <c r="J168" t="inlineStr">
        <is>
          <t>REZ1985-0048</t>
        </is>
      </c>
      <c r="L168" t="inlineStr">
        <is>
          <t>Planned</t>
        </is>
      </c>
      <c r="N168" t="inlineStr">
        <is>
          <t>2026-07-16</t>
        </is>
      </c>
      <c r="O168" t="n">
        <v>271</v>
      </c>
      <c r="P168" t="inlineStr">
        <is>
          <t>https://gisweb.pwcva.gov/arcgis/rest/services/Planning/Build_Out_Analysis/MapServer/9/271?f=html</t>
        </is>
      </c>
      <c r="Q168" t="inlineStr">
        <is>
          <t>Planned</t>
        </is>
      </c>
    </row>
    <row r="169">
      <c r="A169" t="n">
        <v>168</v>
      </c>
      <c r="B169" t="inlineStr">
        <is>
          <t>Manassas Tech Park North 1</t>
        </is>
      </c>
      <c r="C169" t="inlineStr">
        <is>
          <t>Planned</t>
        </is>
      </c>
      <c r="D169" t="inlineStr">
        <is>
          <t>Manassas Tech Park North</t>
        </is>
      </c>
      <c r="E169" t="inlineStr">
        <is>
          <t>REZ1985-0048</t>
        </is>
      </c>
      <c r="F169" t="inlineStr">
        <is>
          <t>7596-50-2719</t>
        </is>
      </c>
      <c r="G169" t="inlineStr">
        <is>
          <t>9251 INDUSTRIAL CT</t>
        </is>
      </c>
      <c r="H169" t="n">
        <v>170000</v>
      </c>
      <c r="J169" t="inlineStr">
        <is>
          <t>REZ1985-0048</t>
        </is>
      </c>
      <c r="L169" t="inlineStr">
        <is>
          <t>Planned</t>
        </is>
      </c>
      <c r="N169" t="inlineStr">
        <is>
          <t>2026-04-17</t>
        </is>
      </c>
      <c r="O169" t="n">
        <v>221</v>
      </c>
      <c r="P169" t="inlineStr">
        <is>
          <t>https://gisweb.pwcva.gov/arcgis/rest/services/Planning/Build_Out_Analysis/MapServer/9/221?f=html</t>
        </is>
      </c>
      <c r="Q169" t="inlineStr">
        <is>
          <t>Planned</t>
        </is>
      </c>
    </row>
    <row r="170">
      <c r="A170" t="n">
        <v>169</v>
      </c>
      <c r="B170" t="inlineStr">
        <is>
          <t>Manassas Tech Park North 2</t>
        </is>
      </c>
      <c r="C170" t="inlineStr">
        <is>
          <t>Planned</t>
        </is>
      </c>
      <c r="D170" t="inlineStr">
        <is>
          <t>Manassas Tech Park North</t>
        </is>
      </c>
      <c r="E170" t="inlineStr">
        <is>
          <t>REZ1985-0048</t>
        </is>
      </c>
      <c r="F170" t="inlineStr">
        <is>
          <t>7595-49-8655</t>
        </is>
      </c>
      <c r="G170" t="inlineStr">
        <is>
          <t>9250 INDUSTRIAL CT</t>
        </is>
      </c>
      <c r="H170" t="n">
        <v>170000</v>
      </c>
      <c r="J170" t="inlineStr">
        <is>
          <t>REZ1985-0048</t>
        </is>
      </c>
      <c r="L170" t="inlineStr">
        <is>
          <t>Planned</t>
        </is>
      </c>
      <c r="N170" t="inlineStr">
        <is>
          <t>2026-04-17</t>
        </is>
      </c>
      <c r="O170" t="n">
        <v>222</v>
      </c>
      <c r="P170" t="inlineStr">
        <is>
          <t>https://gisweb.pwcva.gov/arcgis/rest/services/Planning/Build_Out_Analysis/MapServer/9/222?f=html</t>
        </is>
      </c>
      <c r="Q170" t="inlineStr">
        <is>
          <t>Planned</t>
        </is>
      </c>
    </row>
    <row r="171">
      <c r="A171" t="n">
        <v>170</v>
      </c>
      <c r="B171" t="inlineStr">
        <is>
          <t>Merritt I-66 Business Park A</t>
        </is>
      </c>
      <c r="C171" t="inlineStr">
        <is>
          <t>Planned</t>
        </is>
      </c>
      <c r="D171" t="inlineStr">
        <is>
          <t>Merritt I-66 Business Park</t>
        </is>
      </c>
      <c r="E171" t="inlineStr">
        <is>
          <t>REZ1981-0015</t>
        </is>
      </c>
      <c r="F171" t="inlineStr">
        <is>
          <t>7597-25-1404</t>
        </is>
      </c>
      <c r="G171" t="inlineStr">
        <is>
          <t>7370 MERRITT PARK DR</t>
        </is>
      </c>
      <c r="H171" t="n">
        <v>436000</v>
      </c>
      <c r="J171" t="inlineStr">
        <is>
          <t>REZ1981-0015</t>
        </is>
      </c>
      <c r="L171" t="inlineStr">
        <is>
          <t>Planned</t>
        </is>
      </c>
      <c r="N171" t="inlineStr">
        <is>
          <t>2026-07-30</t>
        </is>
      </c>
      <c r="O171" t="n">
        <v>276</v>
      </c>
      <c r="P171" t="inlineStr">
        <is>
          <t>https://gisweb.pwcva.gov/arcgis/rest/services/Planning/Build_Out_Analysis/MapServer/9/276?f=html</t>
        </is>
      </c>
      <c r="Q171" t="inlineStr">
        <is>
          <t>Planned</t>
        </is>
      </c>
    </row>
    <row r="172">
      <c r="A172" t="n">
        <v>171</v>
      </c>
      <c r="B172" t="inlineStr">
        <is>
          <t>Merritt I-66 Business Park B</t>
        </is>
      </c>
      <c r="C172" t="inlineStr">
        <is>
          <t>Planned</t>
        </is>
      </c>
      <c r="D172" t="inlineStr">
        <is>
          <t>Merritt I-66 Business Park</t>
        </is>
      </c>
      <c r="E172" t="inlineStr">
        <is>
          <t>REZ1981-0015</t>
        </is>
      </c>
      <c r="F172" t="inlineStr">
        <is>
          <t>7597-24-1765</t>
        </is>
      </c>
      <c r="G172" t="inlineStr">
        <is>
          <t>7390 MERRITT PARK DR</t>
        </is>
      </c>
      <c r="H172" t="n">
        <v>436000</v>
      </c>
      <c r="J172" t="inlineStr">
        <is>
          <t>REZ1981-0015</t>
        </is>
      </c>
      <c r="L172" t="inlineStr">
        <is>
          <t>Planned</t>
        </is>
      </c>
      <c r="N172" t="inlineStr">
        <is>
          <t>2026-07-30</t>
        </is>
      </c>
      <c r="O172" t="n">
        <v>275</v>
      </c>
      <c r="P172" t="inlineStr">
        <is>
          <t>https://gisweb.pwcva.gov/arcgis/rest/services/Planning/Build_Out_Analysis/MapServer/9/275?f=html</t>
        </is>
      </c>
      <c r="Q172" t="inlineStr">
        <is>
          <t>Planned</t>
        </is>
      </c>
    </row>
    <row r="173">
      <c r="A173" t="n">
        <v>172</v>
      </c>
      <c r="B173" t="inlineStr">
        <is>
          <t>Merritt I-66 Business Park C</t>
        </is>
      </c>
      <c r="C173" t="inlineStr">
        <is>
          <t>Planned</t>
        </is>
      </c>
      <c r="D173" t="inlineStr">
        <is>
          <t>Merritt I-66 Business Park</t>
        </is>
      </c>
      <c r="E173" t="inlineStr">
        <is>
          <t>REZ1981-0015</t>
        </is>
      </c>
      <c r="F173" t="inlineStr">
        <is>
          <t>7597-24-7195</t>
        </is>
      </c>
      <c r="G173" t="inlineStr">
        <is>
          <t>7375 MERRITT PARK DR</t>
        </is>
      </c>
      <c r="H173" t="n">
        <v>633749</v>
      </c>
      <c r="J173" t="inlineStr">
        <is>
          <t>REZ1981-0015</t>
        </is>
      </c>
      <c r="L173" t="inlineStr">
        <is>
          <t>Planned</t>
        </is>
      </c>
      <c r="N173" t="inlineStr">
        <is>
          <t>2026-07-30</t>
        </is>
      </c>
      <c r="O173" t="n">
        <v>273</v>
      </c>
      <c r="P173" t="inlineStr">
        <is>
          <t>https://gisweb.pwcva.gov/arcgis/rest/services/Planning/Build_Out_Analysis/MapServer/9/273?f=html</t>
        </is>
      </c>
      <c r="Q173" t="inlineStr">
        <is>
          <t>Planned</t>
        </is>
      </c>
    </row>
    <row r="174">
      <c r="A174" t="n">
        <v>173</v>
      </c>
      <c r="B174" t="inlineStr">
        <is>
          <t>Merritt I-66 Business Park D</t>
        </is>
      </c>
      <c r="C174" t="inlineStr">
        <is>
          <t>Planned</t>
        </is>
      </c>
      <c r="D174" t="inlineStr">
        <is>
          <t>Merritt I-66 Business Park</t>
        </is>
      </c>
      <c r="E174" t="inlineStr">
        <is>
          <t>REZ1981-0015</t>
        </is>
      </c>
      <c r="F174" t="inlineStr">
        <is>
          <t>7597-24-8417</t>
        </is>
      </c>
      <c r="G174" t="inlineStr">
        <is>
          <t>7425 MERRITT PARK DR</t>
        </is>
      </c>
      <c r="H174" t="n">
        <v>638590</v>
      </c>
      <c r="J174" t="inlineStr">
        <is>
          <t>REZ1981-0015</t>
        </is>
      </c>
      <c r="L174" t="inlineStr">
        <is>
          <t>Planned</t>
        </is>
      </c>
      <c r="N174" t="inlineStr">
        <is>
          <t>2026-07-30</t>
        </is>
      </c>
      <c r="O174" t="n">
        <v>274</v>
      </c>
      <c r="P174" t="inlineStr">
        <is>
          <t>https://gisweb.pwcva.gov/arcgis/rest/services/Planning/Build_Out_Analysis/MapServer/9/274?f=html</t>
        </is>
      </c>
      <c r="Q174" t="inlineStr">
        <is>
          <t>Planned</t>
        </is>
      </c>
    </row>
    <row r="175">
      <c r="A175" t="n">
        <v>174</v>
      </c>
      <c r="B175" t="inlineStr">
        <is>
          <t>Microsoft Azure MNZ01</t>
        </is>
      </c>
      <c r="C175" t="inlineStr">
        <is>
          <t>Planned</t>
        </is>
      </c>
      <c r="D175" t="inlineStr">
        <is>
          <t>Microsoft Azure Balls Ford Road</t>
        </is>
      </c>
      <c r="E175" t="inlineStr">
        <is>
          <t>REZ2019-00025</t>
        </is>
      </c>
      <c r="F175" t="inlineStr">
        <is>
          <t>7597-85-1215</t>
        </is>
      </c>
      <c r="G175" t="inlineStr">
        <is>
          <t>11320 BALLS FORD RD</t>
        </is>
      </c>
      <c r="H175" t="n">
        <v>566280</v>
      </c>
      <c r="K175" t="inlineStr">
        <is>
          <t>BLD2024-06291</t>
        </is>
      </c>
      <c r="L175" t="inlineStr">
        <is>
          <t>Pending</t>
        </is>
      </c>
      <c r="N175" t="inlineStr">
        <is>
          <t>2026-08-13</t>
        </is>
      </c>
      <c r="O175" t="n">
        <v>73</v>
      </c>
      <c r="P175" t="inlineStr">
        <is>
          <t>https://gisweb.pwcva.gov/arcgis/rest/services/Planning/Build_Out_Analysis/MapServer/9/73?f=html</t>
        </is>
      </c>
      <c r="Q175" t="inlineStr">
        <is>
          <t>Planned</t>
        </is>
      </c>
    </row>
    <row r="176">
      <c r="A176" t="n">
        <v>175</v>
      </c>
      <c r="B176" t="inlineStr">
        <is>
          <t>Microsoft Azure MNZ02</t>
        </is>
      </c>
      <c r="C176" t="inlineStr">
        <is>
          <t>Planned</t>
        </is>
      </c>
      <c r="D176" t="inlineStr">
        <is>
          <t>Microsoft Azure Balls Ford Road</t>
        </is>
      </c>
      <c r="E176" t="inlineStr">
        <is>
          <t>REZ2019-00025</t>
        </is>
      </c>
      <c r="F176" t="inlineStr">
        <is>
          <t>7597-85-1215</t>
        </is>
      </c>
      <c r="G176" t="inlineStr">
        <is>
          <t>11324 BALLS FORD RD</t>
        </is>
      </c>
      <c r="H176" t="n">
        <v>566280</v>
      </c>
      <c r="I176" t="n">
        <v>0</v>
      </c>
      <c r="L176" t="inlineStr">
        <is>
          <t>Planned</t>
        </is>
      </c>
      <c r="N176" t="inlineStr">
        <is>
          <t>2026-04-23</t>
        </is>
      </c>
      <c r="O176" t="n">
        <v>74</v>
      </c>
      <c r="P176" t="inlineStr">
        <is>
          <t>https://gisweb.pwcva.gov/arcgis/rest/services/Planning/Build_Out_Analysis/MapServer/9/74?f=html</t>
        </is>
      </c>
      <c r="Q176" t="inlineStr">
        <is>
          <t>Planned</t>
        </is>
      </c>
    </row>
    <row r="177">
      <c r="A177" t="n">
        <v>176</v>
      </c>
      <c r="B177" t="inlineStr">
        <is>
          <t>Microsoft Azure MNZ03</t>
        </is>
      </c>
      <c r="C177" t="inlineStr">
        <is>
          <t>Under Construction</t>
        </is>
      </c>
      <c r="D177" t="inlineStr">
        <is>
          <t>Microsoft Azure Gainesville Tech Park</t>
        </is>
      </c>
      <c r="E177" t="inlineStr">
        <is>
          <t>REZ2020-00011</t>
        </is>
      </c>
      <c r="F177" t="inlineStr">
        <is>
          <t>7496-88-1217</t>
        </is>
      </c>
      <c r="G177" t="inlineStr">
        <is>
          <t>13060 HANSEN FARM RD</t>
        </is>
      </c>
      <c r="H177" t="n">
        <v>312931</v>
      </c>
      <c r="K177" t="inlineStr">
        <is>
          <t>BLD2023-07492</t>
        </is>
      </c>
      <c r="L177" t="inlineStr">
        <is>
          <t>Issued</t>
        </is>
      </c>
      <c r="N177" t="inlineStr">
        <is>
          <t>2026-06-09</t>
        </is>
      </c>
      <c r="O177" t="n">
        <v>89</v>
      </c>
      <c r="P177" t="inlineStr">
        <is>
          <t>https://gisweb.pwcva.gov/arcgis/rest/services/Planning/Build_Out_Analysis/MapServer/9/89?f=html</t>
        </is>
      </c>
      <c r="Q177" t="inlineStr">
        <is>
          <t>Under Construction</t>
        </is>
      </c>
    </row>
    <row r="178">
      <c r="A178" t="n">
        <v>177</v>
      </c>
      <c r="B178" t="inlineStr">
        <is>
          <t>Microsoft Azure MNZ04</t>
        </is>
      </c>
      <c r="C178" t="inlineStr">
        <is>
          <t>Planned</t>
        </is>
      </c>
      <c r="D178" t="inlineStr">
        <is>
          <t>Microsoft Azure Gainesville Tech Park</t>
        </is>
      </c>
      <c r="E178" t="inlineStr">
        <is>
          <t>REZ2020-00011</t>
        </is>
      </c>
      <c r="F178" t="inlineStr">
        <is>
          <t>7496-88-1217</t>
        </is>
      </c>
      <c r="G178" t="inlineStr">
        <is>
          <t>13062 HANSEN FARM RD</t>
        </is>
      </c>
      <c r="H178" t="n">
        <v>310856</v>
      </c>
      <c r="I178" t="n">
        <v>0</v>
      </c>
      <c r="K178" t="inlineStr">
        <is>
          <t>BLD2025-02384</t>
        </is>
      </c>
      <c r="L178" t="inlineStr">
        <is>
          <t>Planned</t>
        </is>
      </c>
      <c r="N178" t="inlineStr">
        <is>
          <t>2026-06-17</t>
        </is>
      </c>
      <c r="O178" t="n">
        <v>90</v>
      </c>
      <c r="P178" t="inlineStr">
        <is>
          <t>https://gisweb.pwcva.gov/arcgis/rest/services/Planning/Build_Out_Analysis/MapServer/9/90?f=html</t>
        </is>
      </c>
      <c r="Q178" t="inlineStr">
        <is>
          <t>Planned</t>
        </is>
      </c>
    </row>
    <row r="179">
      <c r="A179" t="n">
        <v>178</v>
      </c>
      <c r="B179" t="inlineStr">
        <is>
          <t>Microsoft Azure MNZ05</t>
        </is>
      </c>
      <c r="C179" t="inlineStr">
        <is>
          <t>Planned</t>
        </is>
      </c>
      <c r="D179" t="inlineStr">
        <is>
          <t>Microsoft Azure Gainesville Tech Park</t>
        </is>
      </c>
      <c r="E179" t="inlineStr">
        <is>
          <t>REZ2020-00011</t>
        </is>
      </c>
      <c r="F179" t="inlineStr">
        <is>
          <t>7496-88-1217</t>
        </is>
      </c>
      <c r="G179" t="inlineStr">
        <is>
          <t>13064 HANSEN FARM RD</t>
        </is>
      </c>
      <c r="H179" t="n">
        <v>310856</v>
      </c>
      <c r="I179" t="n">
        <v>0</v>
      </c>
      <c r="K179" t="inlineStr">
        <is>
          <t>&lt;Null&gt;</t>
        </is>
      </c>
      <c r="L179" t="inlineStr">
        <is>
          <t>Planned</t>
        </is>
      </c>
      <c r="N179" t="inlineStr">
        <is>
          <t>2026-06-09</t>
        </is>
      </c>
      <c r="O179" t="n">
        <v>91</v>
      </c>
      <c r="P179" t="inlineStr">
        <is>
          <t>https://gisweb.pwcva.gov/arcgis/rest/services/Planning/Build_Out_Analysis/MapServer/9/91?f=html</t>
        </is>
      </c>
      <c r="Q179" t="inlineStr">
        <is>
          <t>Planned</t>
        </is>
      </c>
    </row>
    <row r="180">
      <c r="A180" t="n">
        <v>179</v>
      </c>
      <c r="B180" t="inlineStr">
        <is>
          <t>Microsoft Azure MNZ06</t>
        </is>
      </c>
      <c r="C180" t="inlineStr">
        <is>
          <t>Planned</t>
        </is>
      </c>
      <c r="D180" t="inlineStr">
        <is>
          <t>Microsoft Azure Gainesville Tech Park</t>
        </is>
      </c>
      <c r="E180" t="inlineStr">
        <is>
          <t>REZ2020-00011</t>
        </is>
      </c>
      <c r="F180" t="inlineStr">
        <is>
          <t>7496-88-1217</t>
        </is>
      </c>
      <c r="G180" t="inlineStr">
        <is>
          <t>13066 HANSEN FARM RD</t>
        </is>
      </c>
      <c r="H180" t="n">
        <v>495709</v>
      </c>
      <c r="I180" t="n">
        <v>0</v>
      </c>
      <c r="K180" t="inlineStr">
        <is>
          <t>&lt;Null&gt;</t>
        </is>
      </c>
      <c r="L180" t="inlineStr">
        <is>
          <t>Planned</t>
        </is>
      </c>
      <c r="N180" t="inlineStr">
        <is>
          <t>2026-04-23</t>
        </is>
      </c>
      <c r="O180" t="n">
        <v>92</v>
      </c>
      <c r="P180" t="inlineStr">
        <is>
          <t>https://gisweb.pwcva.gov/arcgis/rest/services/Planning/Build_Out_Analysis/MapServer/9/92?f=html</t>
        </is>
      </c>
      <c r="Q180" t="inlineStr">
        <is>
          <t>Planned</t>
        </is>
      </c>
    </row>
    <row r="181">
      <c r="A181" t="n">
        <v>180</v>
      </c>
      <c r="B181" t="inlineStr">
        <is>
          <t>NTT Grove at Gainesville VA10</t>
        </is>
      </c>
      <c r="C181" t="inlineStr">
        <is>
          <t>Under Construction</t>
        </is>
      </c>
      <c r="D181" t="inlineStr">
        <is>
          <t>NTT Grove at Gainesville</t>
        </is>
      </c>
      <c r="E181" t="inlineStr">
        <is>
          <t>REZ2021-00001</t>
        </is>
      </c>
      <c r="F181" t="inlineStr">
        <is>
          <t>7397-56-8403</t>
        </is>
      </c>
      <c r="G181" t="inlineStr">
        <is>
          <t>7253 GROVE HILL BLVD</t>
        </is>
      </c>
      <c r="H181" t="n">
        <v>560942</v>
      </c>
      <c r="K181" t="inlineStr">
        <is>
          <t>BLD2023-05471</t>
        </is>
      </c>
      <c r="L181" t="inlineStr">
        <is>
          <t>Issued</t>
        </is>
      </c>
      <c r="N181" t="inlineStr">
        <is>
          <t>2026-06-05</t>
        </is>
      </c>
      <c r="O181" t="n">
        <v>101</v>
      </c>
      <c r="P181" t="inlineStr">
        <is>
          <t>https://gisweb.pwcva.gov/arcgis/rest/services/Planning/Build_Out_Analysis/MapServer/9/101?f=html</t>
        </is>
      </c>
      <c r="Q181" t="inlineStr">
        <is>
          <t>Under Construction</t>
        </is>
      </c>
    </row>
    <row r="182">
      <c r="A182" t="n">
        <v>181</v>
      </c>
      <c r="B182" t="inlineStr">
        <is>
          <t>NTT Grove at Gainesville VA11</t>
        </is>
      </c>
      <c r="C182" t="inlineStr">
        <is>
          <t>Under Construction</t>
        </is>
      </c>
      <c r="D182" t="inlineStr">
        <is>
          <t>NTT Grove at Gainesville</t>
        </is>
      </c>
      <c r="E182" t="inlineStr">
        <is>
          <t>REZ2021-00001</t>
        </is>
      </c>
      <c r="F182" t="inlineStr">
        <is>
          <t>7397-56-8403</t>
        </is>
      </c>
      <c r="G182" t="inlineStr">
        <is>
          <t>7251 GROVE HILL BLVD</t>
        </is>
      </c>
      <c r="H182" t="n">
        <v>580498</v>
      </c>
      <c r="K182" t="inlineStr">
        <is>
          <t>BLD2025-04670</t>
        </is>
      </c>
      <c r="L182" t="inlineStr">
        <is>
          <t>Issued</t>
        </is>
      </c>
      <c r="N182" t="inlineStr">
        <is>
          <t>2026-06-05</t>
        </is>
      </c>
      <c r="O182" t="n">
        <v>104</v>
      </c>
      <c r="P182" t="inlineStr">
        <is>
          <t>https://gisweb.pwcva.gov/arcgis/rest/services/Planning/Build_Out_Analysis/MapServer/9/104?f=html</t>
        </is>
      </c>
      <c r="Q182" t="inlineStr">
        <is>
          <t>Under Construction</t>
        </is>
      </c>
    </row>
    <row r="183">
      <c r="A183" t="n">
        <v>182</v>
      </c>
      <c r="B183" t="inlineStr">
        <is>
          <t>NTT Grove at Gainesville VA12</t>
        </is>
      </c>
      <c r="C183" t="inlineStr">
        <is>
          <t>Under Construction</t>
        </is>
      </c>
      <c r="D183" t="inlineStr">
        <is>
          <t>NTT Grove at Gainesville</t>
        </is>
      </c>
      <c r="E183" t="inlineStr">
        <is>
          <t>REZ2021-00001</t>
        </is>
      </c>
      <c r="F183" t="inlineStr">
        <is>
          <t>7397-56-8403</t>
        </is>
      </c>
      <c r="G183" t="inlineStr">
        <is>
          <t>7250 GROVE HILL BLVD</t>
        </is>
      </c>
      <c r="H183" t="n">
        <v>580724</v>
      </c>
      <c r="K183" t="inlineStr">
        <is>
          <t>BLD2026-05831</t>
        </is>
      </c>
      <c r="L183" t="inlineStr">
        <is>
          <t>Issued</t>
        </is>
      </c>
      <c r="N183" t="inlineStr">
        <is>
          <t>2026-09-24</t>
        </is>
      </c>
      <c r="O183" t="n">
        <v>102</v>
      </c>
      <c r="P183" t="inlineStr">
        <is>
          <t>https://gisweb.pwcva.gov/arcgis/rest/services/Planning/Build_Out_Analysis/MapServer/9/102?f=html</t>
        </is>
      </c>
      <c r="Q183" t="inlineStr">
        <is>
          <t>Under Construction</t>
        </is>
      </c>
    </row>
    <row r="184">
      <c r="A184" t="n">
        <v>183</v>
      </c>
      <c r="B184" t="inlineStr">
        <is>
          <t>NTT Grove at Gainesville VA13</t>
        </is>
      </c>
      <c r="C184" t="inlineStr">
        <is>
          <t>Planned</t>
        </is>
      </c>
      <c r="D184" t="inlineStr">
        <is>
          <t>NTT Grove at Gainesville</t>
        </is>
      </c>
      <c r="E184" t="inlineStr">
        <is>
          <t>REZ2021-00001</t>
        </is>
      </c>
      <c r="F184" t="inlineStr">
        <is>
          <t>7397-56-8403</t>
        </is>
      </c>
      <c r="G184" t="inlineStr">
        <is>
          <t>7151 CATHARPIN RD</t>
        </is>
      </c>
      <c r="H184" t="n">
        <v>557012</v>
      </c>
      <c r="L184" t="inlineStr">
        <is>
          <t>Planned</t>
        </is>
      </c>
      <c r="N184" t="inlineStr">
        <is>
          <t>2026-06-05</t>
        </is>
      </c>
      <c r="O184" t="n">
        <v>103</v>
      </c>
      <c r="P184" t="inlineStr">
        <is>
          <t>https://gisweb.pwcva.gov/arcgis/rest/services/Planning/Build_Out_Analysis/MapServer/9/103?f=html</t>
        </is>
      </c>
      <c r="Q184" t="inlineStr">
        <is>
          <t>Planned</t>
        </is>
      </c>
    </row>
    <row r="185">
      <c r="A185" t="n">
        <v>184</v>
      </c>
      <c r="B185" t="inlineStr">
        <is>
          <t>Amazon AWS IAD-14</t>
        </is>
      </c>
      <c r="C185" t="inlineStr">
        <is>
          <t>Planned</t>
        </is>
      </c>
      <c r="D185" t="inlineStr">
        <is>
          <t>Patriot Business Center</t>
        </is>
      </c>
      <c r="E185" t="inlineStr">
        <is>
          <t>REZ1969-0021</t>
        </is>
      </c>
      <c r="F185" t="inlineStr">
        <is>
          <t>7597-42-2107</t>
        </is>
      </c>
      <c r="G185" t="inlineStr">
        <is>
          <t>11801 BREWERS SPRING RD</t>
        </is>
      </c>
      <c r="H185" t="n">
        <v>199003</v>
      </c>
      <c r="L185" t="inlineStr">
        <is>
          <t>Planned</t>
        </is>
      </c>
      <c r="N185" t="inlineStr">
        <is>
          <t>2026-05-27</t>
        </is>
      </c>
      <c r="O185" t="n">
        <v>68</v>
      </c>
      <c r="P185" t="inlineStr">
        <is>
          <t>https://gisweb.pwcva.gov/arcgis/rest/services/Planning/Build_Out_Analysis/MapServer/9/68?f=html</t>
        </is>
      </c>
      <c r="Q185" t="inlineStr">
        <is>
          <t>Planned</t>
        </is>
      </c>
    </row>
    <row r="186">
      <c r="A186" t="n">
        <v>185</v>
      </c>
      <c r="B186" t="inlineStr">
        <is>
          <t>Amazon AWS IAD-52</t>
        </is>
      </c>
      <c r="C186" t="inlineStr">
        <is>
          <t>Planned</t>
        </is>
      </c>
      <c r="D186" t="inlineStr">
        <is>
          <t>Patriot Business Center</t>
        </is>
      </c>
      <c r="E186" t="inlineStr">
        <is>
          <t>REZ1969-0021</t>
        </is>
      </c>
      <c r="F186" t="inlineStr">
        <is>
          <t>7597-42-1456</t>
        </is>
      </c>
      <c r="G186" t="inlineStr">
        <is>
          <t>11800 BREWERS SPRING RD</t>
        </is>
      </c>
      <c r="H186" t="n">
        <v>226123</v>
      </c>
      <c r="L186" t="inlineStr">
        <is>
          <t>Planned</t>
        </is>
      </c>
      <c r="N186" t="inlineStr">
        <is>
          <t>2026-05-27</t>
        </is>
      </c>
      <c r="O186" t="n">
        <v>71</v>
      </c>
      <c r="P186" t="inlineStr">
        <is>
          <t>https://gisweb.pwcva.gov/arcgis/rest/services/Planning/Build_Out_Analysis/MapServer/9/71?f=html</t>
        </is>
      </c>
      <c r="Q186" t="inlineStr">
        <is>
          <t>Planned</t>
        </is>
      </c>
    </row>
    <row r="187">
      <c r="A187" t="n">
        <v>186</v>
      </c>
      <c r="B187" t="inlineStr">
        <is>
          <t>Amazon AWS IAD-59</t>
        </is>
      </c>
      <c r="C187" t="inlineStr">
        <is>
          <t>Planned</t>
        </is>
      </c>
      <c r="D187" t="inlineStr">
        <is>
          <t>Patriot Business Center</t>
        </is>
      </c>
      <c r="E187" t="inlineStr">
        <is>
          <t>REZ1969-0021</t>
        </is>
      </c>
      <c r="F187" t="inlineStr">
        <is>
          <t>7597-42-1395</t>
        </is>
      </c>
      <c r="G187" t="inlineStr">
        <is>
          <t>7600 DOANE DR</t>
        </is>
      </c>
      <c r="H187" t="n">
        <v>226132</v>
      </c>
      <c r="L187" t="inlineStr">
        <is>
          <t>Planned</t>
        </is>
      </c>
      <c r="N187" t="inlineStr">
        <is>
          <t>2026-05-27</t>
        </is>
      </c>
      <c r="O187" t="n">
        <v>72</v>
      </c>
      <c r="P187" t="inlineStr">
        <is>
          <t>https://gisweb.pwcva.gov/arcgis/rest/services/Planning/Build_Out_Analysis/MapServer/9/72?f=html</t>
        </is>
      </c>
      <c r="Q187" t="inlineStr">
        <is>
          <t>Planned</t>
        </is>
      </c>
    </row>
    <row r="188">
      <c r="A188" t="n">
        <v>187</v>
      </c>
      <c r="B188" t="inlineStr">
        <is>
          <t>Patriot Business Center</t>
        </is>
      </c>
      <c r="C188" t="inlineStr">
        <is>
          <t>Planned</t>
        </is>
      </c>
      <c r="D188" t="inlineStr">
        <is>
          <t>Patriot Business Center</t>
        </is>
      </c>
      <c r="E188" t="inlineStr">
        <is>
          <t>REZ1969-0021</t>
        </is>
      </c>
      <c r="G188" t="inlineStr">
        <is>
          <t>BREWERS SPRING RD</t>
        </is>
      </c>
      <c r="H188" t="n">
        <v>252265</v>
      </c>
      <c r="J188" t="inlineStr">
        <is>
          <t>REZ1969-0021</t>
        </is>
      </c>
      <c r="L188" t="inlineStr">
        <is>
          <t>Planned</t>
        </is>
      </c>
      <c r="N188" t="inlineStr">
        <is>
          <t>2026-05-27</t>
        </is>
      </c>
      <c r="O188" t="n">
        <v>226</v>
      </c>
      <c r="P188" t="inlineStr">
        <is>
          <t>https://gisweb.pwcva.gov/arcgis/rest/services/Planning/Build_Out_Analysis/MapServer/9/226?f=html</t>
        </is>
      </c>
      <c r="Q188" t="inlineStr">
        <is>
          <t>Planned</t>
        </is>
      </c>
    </row>
    <row r="189">
      <c r="A189" t="n">
        <v>188</v>
      </c>
      <c r="B189" t="inlineStr">
        <is>
          <t>Premier Business Park Bldg A</t>
        </is>
      </c>
      <c r="C189" t="inlineStr">
        <is>
          <t>Planned</t>
        </is>
      </c>
      <c r="D189" t="inlineStr">
        <is>
          <t>Premier Business Park</t>
        </is>
      </c>
      <c r="E189" t="inlineStr">
        <is>
          <t>REZ1969-0021</t>
        </is>
      </c>
      <c r="F189" t="inlineStr">
        <is>
          <t>7597-34-9837</t>
        </is>
      </c>
      <c r="G189" t="inlineStr">
        <is>
          <t>11900 BRADY LN</t>
        </is>
      </c>
      <c r="H189" t="n">
        <v>500000</v>
      </c>
      <c r="J189" t="inlineStr">
        <is>
          <t>REZ1969-0021</t>
        </is>
      </c>
      <c r="L189" t="inlineStr">
        <is>
          <t>Planned</t>
        </is>
      </c>
      <c r="N189" t="inlineStr">
        <is>
          <t>2026-08-10</t>
        </is>
      </c>
      <c r="O189" t="n">
        <v>677</v>
      </c>
      <c r="P189" t="inlineStr">
        <is>
          <t>https://gisweb.pwcva.gov/arcgis/rest/services/Planning/Build_Out_Analysis/MapServer/9/677?f=html</t>
        </is>
      </c>
      <c r="Q189" t="inlineStr">
        <is>
          <t>Planned</t>
        </is>
      </c>
    </row>
    <row r="190">
      <c r="A190" t="n">
        <v>189</v>
      </c>
      <c r="B190" t="inlineStr">
        <is>
          <t>Amazon AWS IAD A</t>
        </is>
      </c>
      <c r="C190" t="inlineStr">
        <is>
          <t>Under Construction</t>
        </is>
      </c>
      <c r="D190" t="inlineStr">
        <is>
          <t>Project Gainesville</t>
        </is>
      </c>
      <c r="E190" t="inlineStr">
        <is>
          <t>REZ1958-0021</t>
        </is>
      </c>
      <c r="F190" t="inlineStr">
        <is>
          <t>7497-41-7199</t>
        </is>
      </c>
      <c r="G190" t="inlineStr">
        <is>
          <t>7725 DEACON FALLS DR</t>
        </is>
      </c>
      <c r="H190" t="n">
        <v>258716</v>
      </c>
      <c r="J190" t="inlineStr">
        <is>
          <t>REZ1958-0021</t>
        </is>
      </c>
      <c r="K190" t="inlineStr">
        <is>
          <t>BLD2022-05922</t>
        </is>
      </c>
      <c r="L190" t="inlineStr">
        <is>
          <t>Issued</t>
        </is>
      </c>
      <c r="N190" t="inlineStr">
        <is>
          <t>2026-07-17</t>
        </is>
      </c>
      <c r="O190" t="n">
        <v>77</v>
      </c>
      <c r="P190" t="inlineStr">
        <is>
          <t>https://gisweb.pwcva.gov/arcgis/rest/services/Planning/Build_Out_Analysis/MapServer/9/77?f=html</t>
        </is>
      </c>
      <c r="Q190" t="inlineStr">
        <is>
          <t>Under Construction</t>
        </is>
      </c>
    </row>
    <row r="191">
      <c r="A191" t="n">
        <v>190</v>
      </c>
      <c r="B191" t="inlineStr">
        <is>
          <t>Amazon AWS IAD B</t>
        </is>
      </c>
      <c r="C191" t="inlineStr">
        <is>
          <t>Under Construction</t>
        </is>
      </c>
      <c r="D191" t="inlineStr">
        <is>
          <t>Project Gainesville</t>
        </is>
      </c>
      <c r="E191" t="inlineStr">
        <is>
          <t>REZ1958-0021</t>
        </is>
      </c>
      <c r="F191" t="inlineStr">
        <is>
          <t>7497-41-7199</t>
        </is>
      </c>
      <c r="G191" t="inlineStr">
        <is>
          <t>7751 DEACON FALLS DR</t>
        </is>
      </c>
      <c r="H191" t="n">
        <v>248483</v>
      </c>
      <c r="J191" t="inlineStr">
        <is>
          <t>REZ1958-0021</t>
        </is>
      </c>
      <c r="K191" t="inlineStr">
        <is>
          <t>BLD2024-05622</t>
        </is>
      </c>
      <c r="L191" t="inlineStr">
        <is>
          <t>Issued</t>
        </is>
      </c>
      <c r="N191" t="inlineStr">
        <is>
          <t>2026-07-13</t>
        </is>
      </c>
      <c r="O191" t="n">
        <v>111</v>
      </c>
      <c r="P191" t="inlineStr">
        <is>
          <t>https://gisweb.pwcva.gov/arcgis/rest/services/Planning/Build_Out_Analysis/MapServer/9/111?f=html</t>
        </is>
      </c>
      <c r="Q191" t="inlineStr">
        <is>
          <t>Under Construction</t>
        </is>
      </c>
    </row>
    <row r="192">
      <c r="A192" t="n">
        <v>191</v>
      </c>
      <c r="B192" t="inlineStr">
        <is>
          <t>Amazon AWS IAD C</t>
        </is>
      </c>
      <c r="C192" t="inlineStr">
        <is>
          <t>Under Construction</t>
        </is>
      </c>
      <c r="D192" t="inlineStr">
        <is>
          <t>Project Gainesville</t>
        </is>
      </c>
      <c r="E192" t="inlineStr">
        <is>
          <t>REZ1958-0021</t>
        </is>
      </c>
      <c r="F192" t="inlineStr">
        <is>
          <t>7497-41-7199</t>
        </is>
      </c>
      <c r="G192" t="inlineStr">
        <is>
          <t>7701 DEACON FALLS DR</t>
        </is>
      </c>
      <c r="H192" t="n">
        <v>218391</v>
      </c>
      <c r="J192" t="inlineStr">
        <is>
          <t>REZ1958-0021</t>
        </is>
      </c>
      <c r="K192" t="inlineStr">
        <is>
          <t>BLD2026-00592</t>
        </is>
      </c>
      <c r="L192" t="inlineStr">
        <is>
          <t>Issued</t>
        </is>
      </c>
      <c r="N192" t="inlineStr">
        <is>
          <t>2026-07-13</t>
        </is>
      </c>
      <c r="O192" t="n">
        <v>112</v>
      </c>
      <c r="P192" t="inlineStr">
        <is>
          <t>https://gisweb.pwcva.gov/arcgis/rest/services/Planning/Build_Out_Analysis/MapServer/9/112?f=html</t>
        </is>
      </c>
      <c r="Q192" t="inlineStr">
        <is>
          <t>Under Construction</t>
        </is>
      </c>
    </row>
    <row r="193">
      <c r="A193" t="n">
        <v>192</v>
      </c>
      <c r="B193" t="inlineStr">
        <is>
          <t>Amazon AWS IAD D</t>
        </is>
      </c>
      <c r="C193" t="inlineStr">
        <is>
          <t>Under Construction</t>
        </is>
      </c>
      <c r="D193" t="inlineStr">
        <is>
          <t>Project Gainesville</t>
        </is>
      </c>
      <c r="E193" t="inlineStr">
        <is>
          <t>REZ1958-0021</t>
        </is>
      </c>
      <c r="F193" t="inlineStr">
        <is>
          <t>7497-41-7199</t>
        </is>
      </c>
      <c r="G193" t="inlineStr">
        <is>
          <t>7675 DEACON FALLS DR</t>
        </is>
      </c>
      <c r="H193" t="n">
        <v>218391</v>
      </c>
      <c r="J193" t="inlineStr">
        <is>
          <t>REZ1958-0021</t>
        </is>
      </c>
      <c r="K193" t="inlineStr">
        <is>
          <t>BLD2026-00593</t>
        </is>
      </c>
      <c r="L193" t="inlineStr">
        <is>
          <t>Issued</t>
        </is>
      </c>
      <c r="N193" t="inlineStr">
        <is>
          <t>2026-08-06</t>
        </is>
      </c>
      <c r="O193" t="n">
        <v>113</v>
      </c>
      <c r="P193" t="inlineStr">
        <is>
          <t>https://gisweb.pwcva.gov/arcgis/rest/services/Planning/Build_Out_Analysis/MapServer/9/113?f=html</t>
        </is>
      </c>
      <c r="Q193" t="inlineStr">
        <is>
          <t>Under Construction</t>
        </is>
      </c>
    </row>
    <row r="194">
      <c r="A194" t="n">
        <v>193</v>
      </c>
      <c r="B194" t="inlineStr">
        <is>
          <t>Project Gulfstream Bldg A</t>
        </is>
      </c>
      <c r="C194" t="inlineStr">
        <is>
          <t>Planned</t>
        </is>
      </c>
      <c r="D194" t="inlineStr">
        <is>
          <t>Project Gulfstream</t>
        </is>
      </c>
      <c r="E194" t="inlineStr">
        <is>
          <t>REZ1987-0021</t>
        </is>
      </c>
      <c r="F194" t="inlineStr">
        <is>
          <t>7694-69-8742</t>
        </is>
      </c>
      <c r="G194" t="inlineStr">
        <is>
          <t>10250 HARRY J PARRISH BLVD</t>
        </is>
      </c>
      <c r="H194" t="n">
        <v>373800</v>
      </c>
      <c r="J194" t="inlineStr">
        <is>
          <t>REZ1987-0021</t>
        </is>
      </c>
      <c r="L194" t="inlineStr">
        <is>
          <t>Planned</t>
        </is>
      </c>
      <c r="N194" t="inlineStr">
        <is>
          <t>2026-08-14</t>
        </is>
      </c>
      <c r="O194" t="n">
        <v>210</v>
      </c>
      <c r="P194" t="inlineStr">
        <is>
          <t>https://gisweb.pwcva.gov/arcgis/rest/services/Planning/Build_Out_Analysis/MapServer/9/210?f=html</t>
        </is>
      </c>
      <c r="Q194" t="inlineStr">
        <is>
          <t>Planned</t>
        </is>
      </c>
    </row>
    <row r="195">
      <c r="A195" t="n">
        <v>194</v>
      </c>
      <c r="B195" t="inlineStr">
        <is>
          <t>Project Gulfstream Bldg B</t>
        </is>
      </c>
      <c r="C195" t="inlineStr">
        <is>
          <t>Planned</t>
        </is>
      </c>
      <c r="D195" t="inlineStr">
        <is>
          <t>Project Gulfstream</t>
        </is>
      </c>
      <c r="E195" t="inlineStr">
        <is>
          <t>REZ1987-0021</t>
        </is>
      </c>
      <c r="F195" t="inlineStr">
        <is>
          <t>7694-78-6585</t>
        </is>
      </c>
      <c r="G195" t="inlineStr">
        <is>
          <t>10230 HARRY J PARRISH BLVD</t>
        </is>
      </c>
      <c r="H195" t="n">
        <v>292750</v>
      </c>
      <c r="J195" t="inlineStr">
        <is>
          <t>REZ1987-0021</t>
        </is>
      </c>
      <c r="L195" t="inlineStr">
        <is>
          <t>Planned</t>
        </is>
      </c>
      <c r="N195" t="inlineStr">
        <is>
          <t>2026-08-14</t>
        </is>
      </c>
      <c r="O195" t="n">
        <v>208</v>
      </c>
      <c r="P195" t="inlineStr">
        <is>
          <t>https://gisweb.pwcva.gov/arcgis/rest/services/Planning/Build_Out_Analysis/MapServer/9/208?f=html</t>
        </is>
      </c>
      <c r="Q195" t="inlineStr">
        <is>
          <t>Planned</t>
        </is>
      </c>
    </row>
    <row r="196">
      <c r="A196" t="n">
        <v>195</v>
      </c>
      <c r="B196" t="inlineStr">
        <is>
          <t>Project Gulfstream Bldg C</t>
        </is>
      </c>
      <c r="C196" t="inlineStr">
        <is>
          <t>Planned</t>
        </is>
      </c>
      <c r="D196" t="inlineStr">
        <is>
          <t>Project Gulfstream</t>
        </is>
      </c>
      <c r="E196" t="inlineStr">
        <is>
          <t>REZ1987-0021</t>
        </is>
      </c>
      <c r="F196" t="inlineStr">
        <is>
          <t>7694-68-7035</t>
        </is>
      </c>
      <c r="G196" t="inlineStr">
        <is>
          <t>10231 HARRY J PARRISH BLVD</t>
        </is>
      </c>
      <c r="H196" t="n">
        <v>283790</v>
      </c>
      <c r="J196" t="inlineStr">
        <is>
          <t>REZ1987-0021</t>
        </is>
      </c>
      <c r="L196" t="inlineStr">
        <is>
          <t>Planned</t>
        </is>
      </c>
      <c r="N196" t="inlineStr">
        <is>
          <t>2026-08-14</t>
        </is>
      </c>
      <c r="O196" t="n">
        <v>209</v>
      </c>
      <c r="P196" t="inlineStr">
        <is>
          <t>https://gisweb.pwcva.gov/arcgis/rest/services/Planning/Build_Out_Analysis/MapServer/9/209?f=html</t>
        </is>
      </c>
      <c r="Q196" t="inlineStr">
        <is>
          <t>Planned</t>
        </is>
      </c>
    </row>
    <row r="197">
      <c r="A197" t="n">
        <v>196</v>
      </c>
      <c r="B197" t="inlineStr">
        <is>
          <t>Project Gulfstream Bldg D</t>
        </is>
      </c>
      <c r="C197" t="inlineStr">
        <is>
          <t>Planned</t>
        </is>
      </c>
      <c r="D197" t="inlineStr">
        <is>
          <t>Project Gulfstream</t>
        </is>
      </c>
      <c r="E197" t="inlineStr">
        <is>
          <t>REZ1987-0021</t>
        </is>
      </c>
      <c r="F197" t="inlineStr">
        <is>
          <t>7694-68-7035</t>
        </is>
      </c>
      <c r="G197" t="inlineStr">
        <is>
          <t>10231 HARRY J PARRISH BLVD</t>
        </is>
      </c>
      <c r="H197" t="n">
        <v>287680</v>
      </c>
      <c r="J197" t="inlineStr">
        <is>
          <t>REZ1987-0021</t>
        </is>
      </c>
      <c r="L197" t="inlineStr">
        <is>
          <t>Planned</t>
        </is>
      </c>
      <c r="N197" t="inlineStr">
        <is>
          <t>2026-08-14</t>
        </is>
      </c>
      <c r="O197" t="n">
        <v>679</v>
      </c>
      <c r="P197" t="inlineStr">
        <is>
          <t>https://gisweb.pwcva.gov/arcgis/rest/services/Planning/Build_Out_Analysis/MapServer/9/679?f=html</t>
        </is>
      </c>
      <c r="Q197" t="inlineStr">
        <is>
          <t>Planned</t>
        </is>
      </c>
    </row>
    <row r="198">
      <c r="A198" t="n">
        <v>197</v>
      </c>
      <c r="B198" t="inlineStr">
        <is>
          <t>Project Industry A</t>
        </is>
      </c>
      <c r="C198" t="inlineStr">
        <is>
          <t>Pending</t>
        </is>
      </c>
      <c r="D198" t="inlineStr">
        <is>
          <t>Project Industry</t>
        </is>
      </c>
      <c r="E198" t="inlineStr">
        <is>
          <t>REZ2025-00003</t>
        </is>
      </c>
      <c r="F198" t="inlineStr">
        <is>
          <t>7496-58-4088</t>
        </is>
      </c>
      <c r="G198" t="inlineStr">
        <is>
          <t>8021 INDUSTRIAL PARK CT</t>
        </is>
      </c>
      <c r="H198" t="n">
        <v>171758</v>
      </c>
      <c r="J198" t="inlineStr">
        <is>
          <t>REZ2025-00003</t>
        </is>
      </c>
      <c r="L198" t="inlineStr">
        <is>
          <t>Planned</t>
        </is>
      </c>
      <c r="N198" t="inlineStr">
        <is>
          <t>2026-05-05</t>
        </is>
      </c>
      <c r="O198" t="n">
        <v>206</v>
      </c>
      <c r="P198" t="inlineStr">
        <is>
          <t>https://gisweb.pwcva.gov/arcgis/rest/services/Planning/Build_Out_Analysis/MapServer/9/206?f=html</t>
        </is>
      </c>
      <c r="Q198" t="inlineStr">
        <is>
          <t>Pending</t>
        </is>
      </c>
    </row>
    <row r="199">
      <c r="A199" t="n">
        <v>198</v>
      </c>
      <c r="B199" t="inlineStr">
        <is>
          <t>Project Industry B</t>
        </is>
      </c>
      <c r="C199" t="inlineStr">
        <is>
          <t>Pending</t>
        </is>
      </c>
      <c r="D199" t="inlineStr">
        <is>
          <t>Project Industry</t>
        </is>
      </c>
      <c r="E199" t="inlineStr">
        <is>
          <t>REZ2025-00003</t>
        </is>
      </c>
      <c r="F199" t="inlineStr">
        <is>
          <t>7496-58-0951</t>
        </is>
      </c>
      <c r="G199" t="inlineStr">
        <is>
          <t>8010 INDUSTRIAL PARK CT</t>
        </is>
      </c>
      <c r="H199" t="n">
        <v>171758</v>
      </c>
      <c r="J199" t="inlineStr">
        <is>
          <t>REZ2025-00003</t>
        </is>
      </c>
      <c r="L199" t="inlineStr">
        <is>
          <t>Planned</t>
        </is>
      </c>
      <c r="N199" t="inlineStr">
        <is>
          <t>2026-05-05</t>
        </is>
      </c>
      <c r="O199" t="n">
        <v>207</v>
      </c>
      <c r="P199" t="inlineStr">
        <is>
          <t>https://gisweb.pwcva.gov/arcgis/rest/services/Planning/Build_Out_Analysis/MapServer/9/207?f=html</t>
        </is>
      </c>
      <c r="Q199" t="inlineStr">
        <is>
          <t>Pending</t>
        </is>
      </c>
    </row>
    <row r="200">
      <c r="A200" t="n">
        <v>199</v>
      </c>
      <c r="B200" t="inlineStr">
        <is>
          <t>Project Well A</t>
        </is>
      </c>
      <c r="C200" t="inlineStr">
        <is>
          <t>Planned</t>
        </is>
      </c>
      <c r="D200" t="inlineStr">
        <is>
          <t>Project Well</t>
        </is>
      </c>
      <c r="E200" t="inlineStr">
        <is>
          <t>REZ1979-0021</t>
        </is>
      </c>
      <c r="F200" t="inlineStr">
        <is>
          <t>7596-08-1375</t>
        </is>
      </c>
      <c r="G200" t="inlineStr">
        <is>
          <t>6894 WELLINGTON RD</t>
        </is>
      </c>
      <c r="H200" t="n">
        <v>245485</v>
      </c>
      <c r="J200" t="inlineStr">
        <is>
          <t>REZ2025-00026</t>
        </is>
      </c>
      <c r="L200" t="inlineStr">
        <is>
          <t>Planned</t>
        </is>
      </c>
      <c r="N200" t="inlineStr">
        <is>
          <t>2026-07-13</t>
        </is>
      </c>
      <c r="O200" t="n">
        <v>160</v>
      </c>
      <c r="P200" t="inlineStr">
        <is>
          <t>https://gisweb.pwcva.gov/arcgis/rest/services/Planning/Build_Out_Analysis/MapServer/9/160?f=html</t>
        </is>
      </c>
      <c r="Q200" t="inlineStr">
        <is>
          <t>Planned</t>
        </is>
      </c>
    </row>
    <row r="201">
      <c r="A201" t="n">
        <v>200</v>
      </c>
      <c r="B201" t="inlineStr">
        <is>
          <t>Project Well B</t>
        </is>
      </c>
      <c r="C201" t="inlineStr">
        <is>
          <t>Planned</t>
        </is>
      </c>
      <c r="D201" t="inlineStr">
        <is>
          <t>Project Well</t>
        </is>
      </c>
      <c r="E201" t="inlineStr">
        <is>
          <t>REZ1979-0021</t>
        </is>
      </c>
      <c r="F201" t="inlineStr">
        <is>
          <t>7496-97-8786</t>
        </is>
      </c>
      <c r="G201" t="inlineStr">
        <is>
          <t>6898 WELLINGTON RD</t>
        </is>
      </c>
      <c r="H201" t="n">
        <v>245485</v>
      </c>
      <c r="J201" t="inlineStr">
        <is>
          <t>REZ2025-00026</t>
        </is>
      </c>
      <c r="L201" t="inlineStr">
        <is>
          <t>Planned</t>
        </is>
      </c>
      <c r="N201" t="inlineStr">
        <is>
          <t>2026-07-13</t>
        </is>
      </c>
      <c r="O201" t="n">
        <v>161</v>
      </c>
      <c r="P201" t="inlineStr">
        <is>
          <t>https://gisweb.pwcva.gov/arcgis/rest/services/Planning/Build_Out_Analysis/MapServer/9/161?f=html</t>
        </is>
      </c>
      <c r="Q201" t="inlineStr">
        <is>
          <t>Planned</t>
        </is>
      </c>
    </row>
    <row r="202">
      <c r="A202" t="n">
        <v>201</v>
      </c>
      <c r="B202" t="inlineStr">
        <is>
          <t>QTS Manassas DC1</t>
        </is>
      </c>
      <c r="C202" t="inlineStr">
        <is>
          <t>Completed</t>
        </is>
      </c>
      <c r="D202" t="inlineStr">
        <is>
          <t>QTS Manassas 1</t>
        </is>
      </c>
      <c r="E202" t="inlineStr">
        <is>
          <t>REZ1980-0030</t>
        </is>
      </c>
      <c r="F202" t="inlineStr">
        <is>
          <t>7695-48-1668</t>
        </is>
      </c>
      <c r="G202" t="inlineStr">
        <is>
          <t>9400 GODWIN DR</t>
        </is>
      </c>
      <c r="H202" t="n">
        <v>127000</v>
      </c>
      <c r="I202" t="n">
        <v>2019</v>
      </c>
      <c r="J202" t="inlineStr">
        <is>
          <t>REZ1980-0030</t>
        </is>
      </c>
      <c r="K202" t="inlineStr">
        <is>
          <t>BLD2018-06634</t>
        </is>
      </c>
      <c r="L202" t="inlineStr">
        <is>
          <t>Finaled</t>
        </is>
      </c>
      <c r="M202" t="inlineStr">
        <is>
          <t>2019-03-27</t>
        </is>
      </c>
      <c r="N202" t="inlineStr">
        <is>
          <t>2026-07-29</t>
        </is>
      </c>
      <c r="O202" t="n">
        <v>23</v>
      </c>
      <c r="P202" t="inlineStr">
        <is>
          <t>https://gisweb.pwcva.gov/arcgis/rest/services/Planning/Build_Out_Analysis/MapServer/9/23?f=html</t>
        </is>
      </c>
      <c r="Q202" t="inlineStr">
        <is>
          <t>Completed</t>
        </is>
      </c>
    </row>
    <row r="203">
      <c r="A203" t="n">
        <v>202</v>
      </c>
      <c r="B203" t="inlineStr">
        <is>
          <t>QTS Manassas DC2</t>
        </is>
      </c>
      <c r="C203" t="inlineStr">
        <is>
          <t>Completed</t>
        </is>
      </c>
      <c r="D203" t="inlineStr">
        <is>
          <t>QTS Manassas 1</t>
        </is>
      </c>
      <c r="E203" t="inlineStr">
        <is>
          <t>REZ1980-0030</t>
        </is>
      </c>
      <c r="F203" t="inlineStr">
        <is>
          <t>7695-48-5650</t>
        </is>
      </c>
      <c r="G203" t="inlineStr">
        <is>
          <t>9420 GODWIN DR</t>
        </is>
      </c>
      <c r="H203" t="n">
        <v>136228</v>
      </c>
      <c r="I203" t="n">
        <v>2025</v>
      </c>
      <c r="J203" t="inlineStr">
        <is>
          <t>REZ1980-0030</t>
        </is>
      </c>
      <c r="K203" t="inlineStr">
        <is>
          <t>BLD2023-04643</t>
        </is>
      </c>
      <c r="L203" t="inlineStr">
        <is>
          <t>Finaled</t>
        </is>
      </c>
      <c r="M203" t="inlineStr">
        <is>
          <t>2025-12-28</t>
        </is>
      </c>
      <c r="N203" t="inlineStr">
        <is>
          <t>2026-07-29</t>
        </is>
      </c>
      <c r="O203" t="n">
        <v>25</v>
      </c>
      <c r="P203" t="inlineStr">
        <is>
          <t>https://gisweb.pwcva.gov/arcgis/rest/services/Planning/Build_Out_Analysis/MapServer/9/25?f=html</t>
        </is>
      </c>
      <c r="Q203" t="inlineStr">
        <is>
          <t>Completed</t>
        </is>
      </c>
    </row>
    <row r="204">
      <c r="A204" t="n">
        <v>203</v>
      </c>
      <c r="B204" t="inlineStr">
        <is>
          <t>QTS Manassas DC3</t>
        </is>
      </c>
      <c r="C204" t="inlineStr">
        <is>
          <t>Completed</t>
        </is>
      </c>
      <c r="D204" t="inlineStr">
        <is>
          <t>QTS Manassas 1</t>
        </is>
      </c>
      <c r="E204" t="inlineStr">
        <is>
          <t>REZ1980-0030</t>
        </is>
      </c>
      <c r="F204" t="inlineStr">
        <is>
          <t>7695-58-1491</t>
        </is>
      </c>
      <c r="G204" t="inlineStr">
        <is>
          <t>9450 GODWIN DR</t>
        </is>
      </c>
      <c r="H204" t="n">
        <v>269091</v>
      </c>
      <c r="I204" t="n">
        <v>2024</v>
      </c>
      <c r="J204" t="inlineStr">
        <is>
          <t>REZ1980-0030</t>
        </is>
      </c>
      <c r="K204" t="inlineStr">
        <is>
          <t>BLD2022-06119</t>
        </is>
      </c>
      <c r="L204" t="inlineStr">
        <is>
          <t>Finaled</t>
        </is>
      </c>
      <c r="M204" t="inlineStr">
        <is>
          <t>2024-07-10</t>
        </is>
      </c>
      <c r="N204" t="inlineStr">
        <is>
          <t>2026-07-29</t>
        </is>
      </c>
      <c r="O204" t="n">
        <v>24</v>
      </c>
      <c r="P204" t="inlineStr">
        <is>
          <t>https://gisweb.pwcva.gov/arcgis/rest/services/Planning/Build_Out_Analysis/MapServer/9/24?f=html</t>
        </is>
      </c>
      <c r="Q204" t="inlineStr">
        <is>
          <t>Completed</t>
        </is>
      </c>
    </row>
    <row r="205">
      <c r="A205" t="n">
        <v>204</v>
      </c>
      <c r="B205" t="inlineStr">
        <is>
          <t>QTS Manassas DC4</t>
        </is>
      </c>
      <c r="C205" t="inlineStr">
        <is>
          <t>Under Construction</t>
        </is>
      </c>
      <c r="D205" t="inlineStr">
        <is>
          <t>QTS Manassas 1</t>
        </is>
      </c>
      <c r="E205" t="inlineStr">
        <is>
          <t>REZ1980-0030</t>
        </is>
      </c>
      <c r="F205" t="inlineStr">
        <is>
          <t>7695-38-4851</t>
        </is>
      </c>
      <c r="G205" t="inlineStr">
        <is>
          <t>9351 FREEDOM CENTER BLVD</t>
        </is>
      </c>
      <c r="H205" t="n">
        <v>315862</v>
      </c>
      <c r="J205" t="inlineStr">
        <is>
          <t>REZ2023-00002</t>
        </is>
      </c>
      <c r="K205" t="inlineStr">
        <is>
          <t>BLD2025-03459</t>
        </is>
      </c>
      <c r="L205" t="inlineStr">
        <is>
          <t>Issued</t>
        </is>
      </c>
      <c r="N205" t="inlineStr">
        <is>
          <t>2026-07-29</t>
        </is>
      </c>
      <c r="O205" t="n">
        <v>26</v>
      </c>
      <c r="P205" t="inlineStr">
        <is>
          <t>https://gisweb.pwcva.gov/arcgis/rest/services/Planning/Build_Out_Analysis/MapServer/9/26?f=html</t>
        </is>
      </c>
      <c r="Q205" t="inlineStr">
        <is>
          <t>Under Construction</t>
        </is>
      </c>
    </row>
    <row r="206">
      <c r="A206" t="n">
        <v>205</v>
      </c>
      <c r="B206" t="inlineStr">
        <is>
          <t>QTS Manassas DC5</t>
        </is>
      </c>
      <c r="C206" t="inlineStr">
        <is>
          <t>Completed</t>
        </is>
      </c>
      <c r="D206" t="inlineStr">
        <is>
          <t>QTS Manassas 1</t>
        </is>
      </c>
      <c r="E206" t="inlineStr">
        <is>
          <t>REZ1980-0030</t>
        </is>
      </c>
      <c r="F206" t="inlineStr">
        <is>
          <t>7695-39-0644</t>
        </is>
      </c>
      <c r="G206" t="inlineStr">
        <is>
          <t>9301 FREEDOM CENTER BLVD</t>
        </is>
      </c>
      <c r="H206" t="n">
        <v>308486</v>
      </c>
      <c r="I206" t="n">
        <v>2023</v>
      </c>
      <c r="K206" t="inlineStr">
        <is>
          <t>BLD2021-04300</t>
        </is>
      </c>
      <c r="L206" t="inlineStr">
        <is>
          <t>Finaled</t>
        </is>
      </c>
      <c r="M206" t="inlineStr">
        <is>
          <t>2023-04-27</t>
        </is>
      </c>
      <c r="N206" t="inlineStr">
        <is>
          <t>2026-08-21</t>
        </is>
      </c>
      <c r="O206" t="n">
        <v>22</v>
      </c>
      <c r="P206" t="inlineStr">
        <is>
          <t>https://gisweb.pwcva.gov/arcgis/rest/services/Planning/Build_Out_Analysis/MapServer/9/22?f=html</t>
        </is>
      </c>
      <c r="Q206" t="inlineStr">
        <is>
          <t>Completed</t>
        </is>
      </c>
    </row>
    <row r="207">
      <c r="A207" t="n">
        <v>206</v>
      </c>
      <c r="B207" t="inlineStr">
        <is>
          <t>QTS Manassas DC6</t>
        </is>
      </c>
      <c r="C207" t="inlineStr">
        <is>
          <t>Under Construction</t>
        </is>
      </c>
      <c r="D207" t="inlineStr">
        <is>
          <t>QTS Manassas 1</t>
        </is>
      </c>
      <c r="E207" t="inlineStr">
        <is>
          <t>REZ1980-0030</t>
        </is>
      </c>
      <c r="F207" t="inlineStr">
        <is>
          <t>7695-47-3376</t>
        </is>
      </c>
      <c r="G207" t="inlineStr">
        <is>
          <t>9540 GODWIN DR</t>
        </is>
      </c>
      <c r="H207" t="n">
        <v>199720</v>
      </c>
      <c r="J207" t="inlineStr">
        <is>
          <t>REZ2020-00019</t>
        </is>
      </c>
      <c r="K207" t="inlineStr">
        <is>
          <t>BLD2024-06788</t>
        </is>
      </c>
      <c r="L207" t="inlineStr">
        <is>
          <t>Issued</t>
        </is>
      </c>
      <c r="N207" t="inlineStr">
        <is>
          <t>2026-07-29</t>
        </is>
      </c>
      <c r="O207" t="n">
        <v>21</v>
      </c>
      <c r="P207" t="inlineStr">
        <is>
          <t>https://gisweb.pwcva.gov/arcgis/rest/services/Planning/Build_Out_Analysis/MapServer/9/21?f=html</t>
        </is>
      </c>
      <c r="Q207" t="inlineStr">
        <is>
          <t>Under Construction</t>
        </is>
      </c>
    </row>
    <row r="208">
      <c r="A208" t="n">
        <v>207</v>
      </c>
      <c r="B208" t="inlineStr">
        <is>
          <t>Redstone 3</t>
        </is>
      </c>
      <c r="C208" t="inlineStr">
        <is>
          <t>Planned</t>
        </is>
      </c>
      <c r="D208" t="inlineStr">
        <is>
          <t>Redstone Tech Park Central</t>
        </is>
      </c>
      <c r="E208" t="inlineStr">
        <is>
          <t>REZ1994-0013</t>
        </is>
      </c>
      <c r="F208" t="inlineStr">
        <is>
          <t>7595-67-8821</t>
        </is>
      </c>
      <c r="G208" t="inlineStr">
        <is>
          <t>9651 HAWKINS DR MANASSAS, VA 20109</t>
        </is>
      </c>
      <c r="H208" t="n">
        <v>14387</v>
      </c>
      <c r="J208" t="inlineStr">
        <is>
          <t>REZ1994-0013</t>
        </is>
      </c>
      <c r="L208" t="inlineStr">
        <is>
          <t>Planned</t>
        </is>
      </c>
      <c r="N208" t="inlineStr">
        <is>
          <t>2026-04-21</t>
        </is>
      </c>
      <c r="O208" t="n">
        <v>231</v>
      </c>
      <c r="P208" t="inlineStr">
        <is>
          <t>https://gisweb.pwcva.gov/arcgis/rest/services/Planning/Build_Out_Analysis/MapServer/9/231?f=html</t>
        </is>
      </c>
      <c r="Q208" t="inlineStr">
        <is>
          <t>Planned</t>
        </is>
      </c>
    </row>
    <row r="209">
      <c r="A209" t="n">
        <v>208</v>
      </c>
      <c r="B209" t="inlineStr">
        <is>
          <t>Redstone 4</t>
        </is>
      </c>
      <c r="C209" t="inlineStr">
        <is>
          <t>Planned</t>
        </is>
      </c>
      <c r="D209" t="inlineStr">
        <is>
          <t>Redstone Tech Park Central</t>
        </is>
      </c>
      <c r="E209" t="inlineStr">
        <is>
          <t>REZ1994-0013</t>
        </is>
      </c>
      <c r="F209" t="inlineStr">
        <is>
          <t>7595-67-8821</t>
        </is>
      </c>
      <c r="G209" t="inlineStr">
        <is>
          <t>9651 HAWKINS DR MANASSAS, VA 20109</t>
        </is>
      </c>
      <c r="H209" t="n">
        <v>14387</v>
      </c>
      <c r="J209" t="inlineStr">
        <is>
          <t>REZ1994-0013</t>
        </is>
      </c>
      <c r="L209" t="inlineStr">
        <is>
          <t>Planned</t>
        </is>
      </c>
      <c r="N209" t="inlineStr">
        <is>
          <t>2026-04-21</t>
        </is>
      </c>
      <c r="O209" t="n">
        <v>232</v>
      </c>
      <c r="P209" t="inlineStr">
        <is>
          <t>https://gisweb.pwcva.gov/arcgis/rest/services/Planning/Build_Out_Analysis/MapServer/9/232?f=html</t>
        </is>
      </c>
      <c r="Q209" t="inlineStr">
        <is>
          <t>Planned</t>
        </is>
      </c>
    </row>
    <row r="210">
      <c r="A210" t="n">
        <v>209</v>
      </c>
      <c r="B210" t="inlineStr">
        <is>
          <t>Redstone Tech Park North A</t>
        </is>
      </c>
      <c r="C210" t="inlineStr">
        <is>
          <t>Planned</t>
        </is>
      </c>
      <c r="D210" t="inlineStr">
        <is>
          <t>Redstone Tech Park North</t>
        </is>
      </c>
      <c r="E210" t="inlineStr">
        <is>
          <t>PLN2008-00253</t>
        </is>
      </c>
      <c r="F210" t="inlineStr">
        <is>
          <t>7595-69-2565</t>
        </is>
      </c>
      <c r="G210" t="inlineStr">
        <is>
          <t>11140 INDUSTRIAL RD</t>
        </is>
      </c>
      <c r="H210" t="n">
        <v>270000</v>
      </c>
      <c r="J210" t="inlineStr">
        <is>
          <t>PLN2008-00253</t>
        </is>
      </c>
      <c r="L210" t="inlineStr">
        <is>
          <t>Planned</t>
        </is>
      </c>
      <c r="N210" t="inlineStr">
        <is>
          <t>2026-04-21</t>
        </is>
      </c>
      <c r="O210" t="n">
        <v>239</v>
      </c>
      <c r="P210" t="inlineStr">
        <is>
          <t>https://gisweb.pwcva.gov/arcgis/rest/services/Planning/Build_Out_Analysis/MapServer/9/239?f=html</t>
        </is>
      </c>
      <c r="Q210" t="inlineStr">
        <is>
          <t>Planned</t>
        </is>
      </c>
    </row>
    <row r="211">
      <c r="A211" t="n">
        <v>210</v>
      </c>
      <c r="B211" t="inlineStr">
        <is>
          <t>Redstone Tech Park North B</t>
        </is>
      </c>
      <c r="C211" t="inlineStr">
        <is>
          <t>Planned</t>
        </is>
      </c>
      <c r="D211" t="inlineStr">
        <is>
          <t>Redstone Tech Park North</t>
        </is>
      </c>
      <c r="E211" t="inlineStr">
        <is>
          <t>PLN2008-00253</t>
        </is>
      </c>
      <c r="F211" t="inlineStr">
        <is>
          <t>7595-69-2101</t>
        </is>
      </c>
      <c r="G211" t="inlineStr">
        <is>
          <t>11144 INDUSTRIAL RD</t>
        </is>
      </c>
      <c r="H211" t="n">
        <v>405000</v>
      </c>
      <c r="J211" t="inlineStr">
        <is>
          <t>REZ1985-0048</t>
        </is>
      </c>
      <c r="L211" t="inlineStr">
        <is>
          <t>Planned</t>
        </is>
      </c>
      <c r="N211" t="inlineStr">
        <is>
          <t>2026-04-21</t>
        </is>
      </c>
      <c r="O211" t="n">
        <v>238</v>
      </c>
      <c r="P211" t="inlineStr">
        <is>
          <t>https://gisweb.pwcva.gov/arcgis/rest/services/Planning/Build_Out_Analysis/MapServer/9/238?f=html</t>
        </is>
      </c>
      <c r="Q211" t="inlineStr">
        <is>
          <t>Planned</t>
        </is>
      </c>
    </row>
    <row r="212">
      <c r="A212" t="n">
        <v>211</v>
      </c>
      <c r="B212" t="inlineStr">
        <is>
          <t>Redstone Tech Park North C</t>
        </is>
      </c>
      <c r="C212" t="inlineStr">
        <is>
          <t>Planned</t>
        </is>
      </c>
      <c r="D212" t="inlineStr">
        <is>
          <t>Redstone Tech Park North</t>
        </is>
      </c>
      <c r="E212" t="inlineStr">
        <is>
          <t>PLN2008-00253</t>
        </is>
      </c>
      <c r="F212" t="inlineStr">
        <is>
          <t>7595-69-4800</t>
        </is>
      </c>
      <c r="G212" t="inlineStr">
        <is>
          <t>11138 INDUSTRIAL RD</t>
        </is>
      </c>
      <c r="H212" t="n">
        <v>248665</v>
      </c>
      <c r="J212" t="inlineStr">
        <is>
          <t>REZ1996-0016</t>
        </is>
      </c>
      <c r="L212" t="inlineStr">
        <is>
          <t>Planned</t>
        </is>
      </c>
      <c r="N212" t="inlineStr">
        <is>
          <t>2026-04-21</t>
        </is>
      </c>
      <c r="O212" t="n">
        <v>237</v>
      </c>
      <c r="P212" t="inlineStr">
        <is>
          <t>https://gisweb.pwcva.gov/arcgis/rest/services/Planning/Build_Out_Analysis/MapServer/9/237?f=html</t>
        </is>
      </c>
      <c r="Q212" t="inlineStr">
        <is>
          <t>Planned</t>
        </is>
      </c>
    </row>
    <row r="213">
      <c r="A213" t="n">
        <v>212</v>
      </c>
      <c r="B213" t="inlineStr">
        <is>
          <t>Redstone Tech Park North D</t>
        </is>
      </c>
      <c r="C213" t="inlineStr">
        <is>
          <t>Planned</t>
        </is>
      </c>
      <c r="D213" t="inlineStr">
        <is>
          <t>Redstone Tech Park North</t>
        </is>
      </c>
      <c r="E213" t="inlineStr">
        <is>
          <t>PLN2008-00253</t>
        </is>
      </c>
      <c r="F213" t="inlineStr">
        <is>
          <t>7595-78-0192</t>
        </is>
      </c>
      <c r="G213" t="inlineStr">
        <is>
          <t>11124 INDUSTRIAL RD</t>
        </is>
      </c>
      <c r="H213" t="n">
        <v>190336</v>
      </c>
      <c r="J213" t="inlineStr">
        <is>
          <t>REZ1996-0016</t>
        </is>
      </c>
      <c r="L213" t="inlineStr">
        <is>
          <t>Planned</t>
        </is>
      </c>
      <c r="N213" t="inlineStr">
        <is>
          <t>2026-04-21</t>
        </is>
      </c>
      <c r="O213" t="n">
        <v>236</v>
      </c>
      <c r="P213" t="inlineStr">
        <is>
          <t>https://gisweb.pwcva.gov/arcgis/rest/services/Planning/Build_Out_Analysis/MapServer/9/236?f=html</t>
        </is>
      </c>
      <c r="Q213" t="inlineStr">
        <is>
          <t>Planned</t>
        </is>
      </c>
    </row>
    <row r="214">
      <c r="A214" t="n">
        <v>213</v>
      </c>
      <c r="B214" t="inlineStr">
        <is>
          <t>Redstone Tech Park North E</t>
        </is>
      </c>
      <c r="C214" t="inlineStr">
        <is>
          <t>Planned</t>
        </is>
      </c>
      <c r="D214" t="inlineStr">
        <is>
          <t>Redstone Tech Park North</t>
        </is>
      </c>
      <c r="E214" t="inlineStr">
        <is>
          <t>PLN2008-00253</t>
        </is>
      </c>
      <c r="F214" t="inlineStr">
        <is>
          <t>7595-88-0593</t>
        </is>
      </c>
      <c r="G214" t="inlineStr">
        <is>
          <t>11090 INDUSTRIAL RD</t>
        </is>
      </c>
      <c r="H214" t="n">
        <v>148500</v>
      </c>
      <c r="J214" t="inlineStr">
        <is>
          <t>REZ1996-0016</t>
        </is>
      </c>
      <c r="L214" t="inlineStr">
        <is>
          <t>Planned</t>
        </is>
      </c>
      <c r="N214" t="inlineStr">
        <is>
          <t>2026-04-21</t>
        </is>
      </c>
      <c r="O214" t="n">
        <v>235</v>
      </c>
      <c r="P214" t="inlineStr">
        <is>
          <t>https://gisweb.pwcva.gov/arcgis/rest/services/Planning/Build_Out_Analysis/MapServer/9/235?f=html</t>
        </is>
      </c>
      <c r="Q214" t="inlineStr">
        <is>
          <t>Planned</t>
        </is>
      </c>
    </row>
    <row r="215">
      <c r="A215" t="n">
        <v>214</v>
      </c>
      <c r="B215" t="inlineStr">
        <is>
          <t>Redstone Tech Park South E</t>
        </is>
      </c>
      <c r="C215" t="inlineStr">
        <is>
          <t>Planned</t>
        </is>
      </c>
      <c r="D215" t="inlineStr">
        <is>
          <t>Redstone Tech Park South</t>
        </is>
      </c>
      <c r="E215" t="inlineStr">
        <is>
          <t>PLN2007-00406</t>
        </is>
      </c>
      <c r="F215" t="inlineStr">
        <is>
          <t>7595-78-4035</t>
        </is>
      </c>
      <c r="G215" t="inlineStr">
        <is>
          <t>11101 INDUSTRIAL RD</t>
        </is>
      </c>
      <c r="H215" t="n">
        <v>200785</v>
      </c>
      <c r="J215" t="inlineStr">
        <is>
          <t>REZ1998-0006</t>
        </is>
      </c>
      <c r="L215" t="inlineStr">
        <is>
          <t>Planned</t>
        </is>
      </c>
      <c r="N215" t="inlineStr">
        <is>
          <t>2026-04-17</t>
        </is>
      </c>
      <c r="O215" t="n">
        <v>225</v>
      </c>
      <c r="P215" t="inlineStr">
        <is>
          <t>https://gisweb.pwcva.gov/arcgis/rest/services/Planning/Build_Out_Analysis/MapServer/9/225?f=html</t>
        </is>
      </c>
      <c r="Q215" t="inlineStr">
        <is>
          <t>Planned</t>
        </is>
      </c>
    </row>
    <row r="216">
      <c r="A216" t="n">
        <v>215</v>
      </c>
      <c r="B216" t="inlineStr">
        <is>
          <t>Redstone Tech Park South F</t>
        </is>
      </c>
      <c r="C216" t="inlineStr">
        <is>
          <t>Planned</t>
        </is>
      </c>
      <c r="D216" t="inlineStr">
        <is>
          <t>Redstone Tech Park South</t>
        </is>
      </c>
      <c r="E216" t="inlineStr">
        <is>
          <t>PLN2007-00406</t>
        </is>
      </c>
      <c r="F216" t="inlineStr">
        <is>
          <t>7595-77-5466</t>
        </is>
      </c>
      <c r="G216" t="inlineStr">
        <is>
          <t>9512 HORNBAKER RD</t>
        </is>
      </c>
      <c r="H216" t="n">
        <v>196102</v>
      </c>
      <c r="J216" t="inlineStr">
        <is>
          <t>PLN2007-00406</t>
        </is>
      </c>
      <c r="L216" t="inlineStr">
        <is>
          <t>Planned</t>
        </is>
      </c>
      <c r="N216" t="inlineStr">
        <is>
          <t>2026-04-17</t>
        </is>
      </c>
      <c r="O216" t="n">
        <v>224</v>
      </c>
      <c r="P216" t="inlineStr">
        <is>
          <t>https://gisweb.pwcva.gov/arcgis/rest/services/Planning/Build_Out_Analysis/MapServer/9/224?f=html</t>
        </is>
      </c>
      <c r="Q216" t="inlineStr">
        <is>
          <t>Planned</t>
        </is>
      </c>
    </row>
    <row r="217">
      <c r="A217" t="n">
        <v>216</v>
      </c>
      <c r="B217" t="inlineStr">
        <is>
          <t>Rose East A</t>
        </is>
      </c>
      <c r="C217" t="inlineStr">
        <is>
          <t>Planned</t>
        </is>
      </c>
      <c r="D217" t="inlineStr">
        <is>
          <t>Rose East/West</t>
        </is>
      </c>
      <c r="E217" t="inlineStr">
        <is>
          <t>PLN2004-00071</t>
        </is>
      </c>
      <c r="F217" t="inlineStr">
        <is>
          <t>7596-09-7967</t>
        </is>
      </c>
      <c r="G217" t="inlineStr">
        <is>
          <t>6895 WELLINGTON RD</t>
        </is>
      </c>
      <c r="H217" t="n">
        <v>356640</v>
      </c>
      <c r="J217" t="inlineStr">
        <is>
          <t>PLN2004-00071</t>
        </is>
      </c>
      <c r="L217" t="inlineStr">
        <is>
          <t>Planned</t>
        </is>
      </c>
      <c r="N217" t="inlineStr">
        <is>
          <t>2026-04-17</t>
        </is>
      </c>
      <c r="O217" t="n">
        <v>218</v>
      </c>
      <c r="P217" t="inlineStr">
        <is>
          <t>https://gisweb.pwcva.gov/arcgis/rest/services/Planning/Build_Out_Analysis/MapServer/9/218?f=html</t>
        </is>
      </c>
      <c r="Q217" t="inlineStr">
        <is>
          <t>Planned</t>
        </is>
      </c>
    </row>
    <row r="218">
      <c r="A218" t="n">
        <v>217</v>
      </c>
      <c r="B218" t="inlineStr">
        <is>
          <t>Rose East B</t>
        </is>
      </c>
      <c r="C218" t="inlineStr">
        <is>
          <t>Planned</t>
        </is>
      </c>
      <c r="D218" t="inlineStr">
        <is>
          <t>Rose East/West</t>
        </is>
      </c>
      <c r="E218" t="inlineStr">
        <is>
          <t>PLN2004-00071</t>
        </is>
      </c>
      <c r="F218" t="inlineStr">
        <is>
          <t>7596-09-7967</t>
        </is>
      </c>
      <c r="G218" t="inlineStr">
        <is>
          <t>6895 WELLINGTON RD</t>
        </is>
      </c>
      <c r="H218" t="n">
        <v>265546</v>
      </c>
      <c r="J218" t="inlineStr">
        <is>
          <t>PLN2004-00071</t>
        </is>
      </c>
      <c r="L218" t="inlineStr">
        <is>
          <t>Planned</t>
        </is>
      </c>
      <c r="N218" t="inlineStr">
        <is>
          <t>2026-04-17</t>
        </is>
      </c>
      <c r="O218" t="n">
        <v>217</v>
      </c>
      <c r="P218" t="inlineStr">
        <is>
          <t>https://gisweb.pwcva.gov/arcgis/rest/services/Planning/Build_Out_Analysis/MapServer/9/217?f=html</t>
        </is>
      </c>
      <c r="Q218" t="inlineStr">
        <is>
          <t>Planned</t>
        </is>
      </c>
    </row>
    <row r="219">
      <c r="A219" t="n">
        <v>218</v>
      </c>
      <c r="B219" t="inlineStr">
        <is>
          <t>Rose West</t>
        </is>
      </c>
      <c r="C219" t="inlineStr">
        <is>
          <t>Planned</t>
        </is>
      </c>
      <c r="D219" t="inlineStr">
        <is>
          <t>Rose East/West</t>
        </is>
      </c>
      <c r="E219" t="inlineStr">
        <is>
          <t>PLN2004-00071</t>
        </is>
      </c>
      <c r="F219" t="inlineStr">
        <is>
          <t>7596-09-7967</t>
        </is>
      </c>
      <c r="G219" t="inlineStr">
        <is>
          <t xml:space="preserve">7911 MERRIFIELD GARDEN WAY MANASSAS, VA </t>
        </is>
      </c>
      <c r="H219" t="n">
        <v>246068</v>
      </c>
      <c r="J219" t="inlineStr">
        <is>
          <t>PLN2004-00071</t>
        </is>
      </c>
      <c r="L219" t="inlineStr">
        <is>
          <t>Planned</t>
        </is>
      </c>
      <c r="N219" t="inlineStr">
        <is>
          <t>2026-04-17</t>
        </is>
      </c>
      <c r="O219" t="n">
        <v>219</v>
      </c>
      <c r="P219" t="inlineStr">
        <is>
          <t>https://gisweb.pwcva.gov/arcgis/rest/services/Planning/Build_Out_Analysis/MapServer/9/219?f=html</t>
        </is>
      </c>
      <c r="Q219" t="inlineStr">
        <is>
          <t>Planned</t>
        </is>
      </c>
    </row>
    <row r="220">
      <c r="A220" t="n">
        <v>219</v>
      </c>
      <c r="B220" t="inlineStr">
        <is>
          <t>Six Towers 1</t>
        </is>
      </c>
      <c r="C220" t="inlineStr">
        <is>
          <t>Pending</t>
        </is>
      </c>
      <c r="D220" t="inlineStr">
        <is>
          <t>Six Towers Industrial Park</t>
        </is>
      </c>
      <c r="E220" t="inlineStr">
        <is>
          <t>REZ2026-00019</t>
        </is>
      </c>
      <c r="F220" t="inlineStr">
        <is>
          <t>7892-50-1385</t>
        </is>
      </c>
      <c r="G220" t="inlineStr">
        <is>
          <t>7830 SIX TOWERS RD</t>
        </is>
      </c>
      <c r="H220" t="n">
        <v>472626</v>
      </c>
      <c r="J220" t="inlineStr">
        <is>
          <t>REZ2026-00019</t>
        </is>
      </c>
      <c r="L220" t="inlineStr">
        <is>
          <t>Planned</t>
        </is>
      </c>
      <c r="N220" t="inlineStr">
        <is>
          <t>2026-04-21</t>
        </is>
      </c>
      <c r="O220" t="n">
        <v>229</v>
      </c>
      <c r="P220" t="inlineStr">
        <is>
          <t>https://gisweb.pwcva.gov/arcgis/rest/services/Planning/Build_Out_Analysis/MapServer/9/229?f=html</t>
        </is>
      </c>
      <c r="Q220" t="inlineStr">
        <is>
          <t>Pending</t>
        </is>
      </c>
    </row>
    <row r="221">
      <c r="A221" t="n">
        <v>220</v>
      </c>
      <c r="B221" t="inlineStr">
        <is>
          <t>Six Towers 2</t>
        </is>
      </c>
      <c r="C221" t="inlineStr">
        <is>
          <t>Pending</t>
        </is>
      </c>
      <c r="D221" t="inlineStr">
        <is>
          <t>Six Towers Industrial Park</t>
        </is>
      </c>
      <c r="E221" t="inlineStr">
        <is>
          <t>REZ2026-00019</t>
        </is>
      </c>
      <c r="F221" t="inlineStr">
        <is>
          <t>7892-50-1385</t>
        </is>
      </c>
      <c r="G221" t="inlineStr">
        <is>
          <t>7830 SIX TOWERS RD</t>
        </is>
      </c>
      <c r="H221" t="n">
        <v>472626</v>
      </c>
      <c r="J221" t="inlineStr">
        <is>
          <t>REZ2026-00019</t>
        </is>
      </c>
      <c r="L221" t="inlineStr">
        <is>
          <t>Planned</t>
        </is>
      </c>
      <c r="N221" t="inlineStr">
        <is>
          <t>2026-04-21</t>
        </is>
      </c>
      <c r="O221" t="n">
        <v>230</v>
      </c>
      <c r="P221" t="inlineStr">
        <is>
          <t>https://gisweb.pwcva.gov/arcgis/rest/services/Planning/Build_Out_Analysis/MapServer/9/230?f=html</t>
        </is>
      </c>
      <c r="Q221" t="inlineStr">
        <is>
          <t>Pending</t>
        </is>
      </c>
    </row>
    <row r="222">
      <c r="A222" t="n">
        <v>221</v>
      </c>
      <c r="B222" t="inlineStr">
        <is>
          <t>South Point Phase II Building A</t>
        </is>
      </c>
      <c r="C222" t="inlineStr">
        <is>
          <t>Completed</t>
        </is>
      </c>
      <c r="D222" t="inlineStr">
        <is>
          <t>South Point Phase II</t>
        </is>
      </c>
      <c r="E222" t="inlineStr">
        <is>
          <t>REZ2020-00021</t>
        </is>
      </c>
      <c r="F222" t="inlineStr">
        <is>
          <t>7596-27-0053</t>
        </is>
      </c>
      <c r="G222" t="inlineStr">
        <is>
          <t>8300 BUCKEYE TIMBER DR</t>
        </is>
      </c>
      <c r="H222" t="n">
        <v>217934</v>
      </c>
      <c r="I222" t="n">
        <v>2026</v>
      </c>
      <c r="K222" t="inlineStr">
        <is>
          <t>BLD2024-01532</t>
        </is>
      </c>
      <c r="L222" t="inlineStr">
        <is>
          <t>Finaled</t>
        </is>
      </c>
      <c r="M222" t="inlineStr">
        <is>
          <t>2026-01-07</t>
        </is>
      </c>
      <c r="N222" t="inlineStr">
        <is>
          <t>2026-08-21</t>
        </is>
      </c>
      <c r="O222" t="n">
        <v>11</v>
      </c>
      <c r="P222" t="inlineStr">
        <is>
          <t>https://gisweb.pwcva.gov/arcgis/rest/services/Planning/Build_Out_Analysis/MapServer/9/11?f=html</t>
        </is>
      </c>
      <c r="Q222" t="inlineStr">
        <is>
          <t>Completed</t>
        </is>
      </c>
    </row>
    <row r="223">
      <c r="A223" t="n">
        <v>222</v>
      </c>
      <c r="B223" t="inlineStr">
        <is>
          <t>South Point Phase II Building B</t>
        </is>
      </c>
      <c r="C223" t="inlineStr">
        <is>
          <t>Under Construction</t>
        </is>
      </c>
      <c r="D223" t="inlineStr">
        <is>
          <t>South Point Phase II</t>
        </is>
      </c>
      <c r="E223" t="inlineStr">
        <is>
          <t>REZ2020-00021</t>
        </is>
      </c>
      <c r="F223" t="inlineStr">
        <is>
          <t>7596-16-5979</t>
        </is>
      </c>
      <c r="G223" t="inlineStr">
        <is>
          <t>8400 BUCKEYE TIMBER DR</t>
        </is>
      </c>
      <c r="H223" t="n">
        <v>265000</v>
      </c>
      <c r="K223" t="inlineStr">
        <is>
          <t>BLD2025-00827</t>
        </is>
      </c>
      <c r="L223" t="inlineStr">
        <is>
          <t>Issued</t>
        </is>
      </c>
      <c r="N223" t="inlineStr">
        <is>
          <t>2026-02-02</t>
        </is>
      </c>
      <c r="O223" t="n">
        <v>12</v>
      </c>
      <c r="P223" t="inlineStr">
        <is>
          <t>https://gisweb.pwcva.gov/arcgis/rest/services/Planning/Build_Out_Analysis/MapServer/9/12?f=html</t>
        </is>
      </c>
      <c r="Q223" t="inlineStr">
        <is>
          <t>Under Construction</t>
        </is>
      </c>
    </row>
    <row r="224">
      <c r="A224" t="n">
        <v>223</v>
      </c>
      <c r="B224" t="inlineStr">
        <is>
          <t>Southgate South 1</t>
        </is>
      </c>
      <c r="C224" t="inlineStr">
        <is>
          <t>Pending</t>
        </is>
      </c>
      <c r="D224" t="inlineStr">
        <is>
          <t>Southgate South</t>
        </is>
      </c>
      <c r="E224" t="inlineStr">
        <is>
          <t>REZ2026-00044</t>
        </is>
      </c>
      <c r="F224" t="inlineStr">
        <is>
          <t>8190-90-6518</t>
        </is>
      </c>
      <c r="G224" t="inlineStr">
        <is>
          <t>16401 DUMFRIES RD</t>
        </is>
      </c>
      <c r="H224" t="n">
        <v>303000</v>
      </c>
      <c r="J224" t="inlineStr">
        <is>
          <t>REZ2026-00044</t>
        </is>
      </c>
      <c r="L224" t="inlineStr">
        <is>
          <t>Planned</t>
        </is>
      </c>
      <c r="N224" t="inlineStr">
        <is>
          <t>2026-06-04</t>
        </is>
      </c>
      <c r="O224" t="n">
        <v>262</v>
      </c>
      <c r="P224" t="inlineStr">
        <is>
          <t>https://gisweb.pwcva.gov/arcgis/rest/services/Planning/Build_Out_Analysis/MapServer/9/262?f=html</t>
        </is>
      </c>
      <c r="Q224" t="inlineStr">
        <is>
          <t>Pending</t>
        </is>
      </c>
    </row>
    <row r="225">
      <c r="A225" t="n">
        <v>224</v>
      </c>
      <c r="B225" t="inlineStr">
        <is>
          <t>Southgate South 2</t>
        </is>
      </c>
      <c r="C225" t="inlineStr">
        <is>
          <t>Pending</t>
        </is>
      </c>
      <c r="D225" t="inlineStr">
        <is>
          <t>Southgate South</t>
        </is>
      </c>
      <c r="E225" t="inlineStr">
        <is>
          <t>REZ2026-00044</t>
        </is>
      </c>
      <c r="F225" t="inlineStr">
        <is>
          <t>8190-90-6518</t>
        </is>
      </c>
      <c r="G225" t="inlineStr">
        <is>
          <t>16401 DUMFRIES RD</t>
        </is>
      </c>
      <c r="H225" t="n">
        <v>303000</v>
      </c>
      <c r="J225" t="inlineStr">
        <is>
          <t>REZ2026-00044</t>
        </is>
      </c>
      <c r="L225" t="inlineStr">
        <is>
          <t>Planned</t>
        </is>
      </c>
      <c r="N225" t="inlineStr">
        <is>
          <t>2026-06-04</t>
        </is>
      </c>
      <c r="O225" t="n">
        <v>264</v>
      </c>
      <c r="P225" t="inlineStr">
        <is>
          <t>https://gisweb.pwcva.gov/arcgis/rest/services/Planning/Build_Out_Analysis/MapServer/9/264?f=html</t>
        </is>
      </c>
      <c r="Q225" t="inlineStr">
        <is>
          <t>Pending</t>
        </is>
      </c>
    </row>
    <row r="226">
      <c r="A226" t="n">
        <v>225</v>
      </c>
      <c r="B226" t="inlineStr">
        <is>
          <t>Southgate South 3</t>
        </is>
      </c>
      <c r="C226" t="inlineStr">
        <is>
          <t>Pending</t>
        </is>
      </c>
      <c r="D226" t="inlineStr">
        <is>
          <t>Southgate South</t>
        </is>
      </c>
      <c r="E226" t="inlineStr">
        <is>
          <t>REZ2026-00044</t>
        </is>
      </c>
      <c r="F226" t="inlineStr">
        <is>
          <t>8190-90-6518</t>
        </is>
      </c>
      <c r="G226" t="inlineStr">
        <is>
          <t>16401 DUMFRIES RD</t>
        </is>
      </c>
      <c r="H226" t="n">
        <v>303000</v>
      </c>
      <c r="J226" t="inlineStr">
        <is>
          <t>REZ2026-00044</t>
        </is>
      </c>
      <c r="L226" t="inlineStr">
        <is>
          <t>Planned</t>
        </is>
      </c>
      <c r="N226" t="inlineStr">
        <is>
          <t>2026-06-04</t>
        </is>
      </c>
      <c r="O226" t="n">
        <v>263</v>
      </c>
      <c r="P226" t="inlineStr">
        <is>
          <t>https://gisweb.pwcva.gov/arcgis/rest/services/Planning/Build_Out_Analysis/MapServer/9/263?f=html</t>
        </is>
      </c>
      <c r="Q226" t="inlineStr">
        <is>
          <t>Pending</t>
        </is>
      </c>
    </row>
    <row r="227">
      <c r="A227" t="n">
        <v>226</v>
      </c>
      <c r="B227" t="inlineStr">
        <is>
          <t>Stack Northern Virginia NVA02A</t>
        </is>
      </c>
      <c r="C227" t="inlineStr">
        <is>
          <t>Completed</t>
        </is>
      </c>
      <c r="D227" t="inlineStr">
        <is>
          <t>Stack Infrastructure NVA02 Manassas</t>
        </is>
      </c>
      <c r="E227" t="inlineStr">
        <is>
          <t>REZ2019-00028</t>
        </is>
      </c>
      <c r="F227" t="inlineStr">
        <is>
          <t>7595-85-6929</t>
        </is>
      </c>
      <c r="G227" t="inlineStr">
        <is>
          <t>9750 HORNBAKER RD</t>
        </is>
      </c>
      <c r="H227" t="n">
        <v>226862</v>
      </c>
      <c r="I227" t="n">
        <v>2025</v>
      </c>
      <c r="K227" t="inlineStr">
        <is>
          <t>BLD2021-02881</t>
        </is>
      </c>
      <c r="L227" t="inlineStr">
        <is>
          <t>Finaled</t>
        </is>
      </c>
      <c r="M227" t="inlineStr">
        <is>
          <t>2025-10-30</t>
        </is>
      </c>
      <c r="N227" t="inlineStr">
        <is>
          <t>2026-08-21</t>
        </is>
      </c>
      <c r="O227" t="n">
        <v>37</v>
      </c>
      <c r="P227" t="inlineStr">
        <is>
          <t>https://gisweb.pwcva.gov/arcgis/rest/services/Planning/Build_Out_Analysis/MapServer/9/37?f=html</t>
        </is>
      </c>
      <c r="Q227" t="inlineStr">
        <is>
          <t>Completed</t>
        </is>
      </c>
    </row>
    <row r="228">
      <c r="A228" t="n">
        <v>227</v>
      </c>
      <c r="B228" t="inlineStr">
        <is>
          <t>Stack Northern Virginia NVA02B</t>
        </is>
      </c>
      <c r="C228" t="inlineStr">
        <is>
          <t>Completed</t>
        </is>
      </c>
      <c r="D228" t="inlineStr">
        <is>
          <t>Stack Infrastructure NVA02 Manassas</t>
        </is>
      </c>
      <c r="E228" t="inlineStr">
        <is>
          <t>REZ2019-00028</t>
        </is>
      </c>
      <c r="F228" t="inlineStr">
        <is>
          <t>7595-85-3742</t>
        </is>
      </c>
      <c r="G228" t="inlineStr">
        <is>
          <t>9740 HORNBAKER RD</t>
        </is>
      </c>
      <c r="H228" t="n">
        <v>224652</v>
      </c>
      <c r="I228" t="n">
        <v>2025</v>
      </c>
      <c r="K228" t="inlineStr">
        <is>
          <t>BLD2022-07412</t>
        </is>
      </c>
      <c r="L228" t="inlineStr">
        <is>
          <t>Finaled</t>
        </is>
      </c>
      <c r="M228" t="inlineStr">
        <is>
          <t>2025-07-15</t>
        </is>
      </c>
      <c r="N228" t="inlineStr">
        <is>
          <t>2026-08-21</t>
        </is>
      </c>
      <c r="O228" t="n">
        <v>38</v>
      </c>
      <c r="P228" t="inlineStr">
        <is>
          <t>https://gisweb.pwcva.gov/arcgis/rest/services/Planning/Build_Out_Analysis/MapServer/9/38?f=html</t>
        </is>
      </c>
      <c r="Q228" t="inlineStr">
        <is>
          <t>Completed</t>
        </is>
      </c>
    </row>
    <row r="229">
      <c r="A229" t="n">
        <v>228</v>
      </c>
      <c r="B229" t="inlineStr">
        <is>
          <t>Stack Northern Virginia NVA02C</t>
        </is>
      </c>
      <c r="C229" t="inlineStr">
        <is>
          <t>Completed</t>
        </is>
      </c>
      <c r="D229" t="inlineStr">
        <is>
          <t>Stack Infrastructure NVA02 Manassas</t>
        </is>
      </c>
      <c r="E229" t="inlineStr">
        <is>
          <t>REZ2019-00028</t>
        </is>
      </c>
      <c r="F229" t="inlineStr">
        <is>
          <t>7595-85-6929</t>
        </is>
      </c>
      <c r="G229" t="inlineStr">
        <is>
          <t>9730 HORNBAKER RD</t>
        </is>
      </c>
      <c r="H229" t="n">
        <v>14387</v>
      </c>
      <c r="I229" t="n">
        <v>2025</v>
      </c>
      <c r="K229" t="inlineStr">
        <is>
          <t>BLD2022-01720</t>
        </is>
      </c>
      <c r="L229" t="inlineStr">
        <is>
          <t>Finaled</t>
        </is>
      </c>
      <c r="M229" t="inlineStr">
        <is>
          <t>2025-11-03</t>
        </is>
      </c>
      <c r="N229" t="inlineStr">
        <is>
          <t>2026-08-21</t>
        </is>
      </c>
      <c r="O229" t="n">
        <v>39</v>
      </c>
      <c r="P229" t="inlineStr">
        <is>
          <t>https://gisweb.pwcva.gov/arcgis/rest/services/Planning/Build_Out_Analysis/MapServer/9/39?f=html</t>
        </is>
      </c>
      <c r="Q229" t="inlineStr">
        <is>
          <t>Completed</t>
        </is>
      </c>
    </row>
    <row r="230">
      <c r="A230" t="n">
        <v>229</v>
      </c>
      <c r="B230" t="inlineStr">
        <is>
          <t>Stack Northern Virginia NVA02D</t>
        </is>
      </c>
      <c r="C230" t="inlineStr">
        <is>
          <t>Completed</t>
        </is>
      </c>
      <c r="D230" t="inlineStr">
        <is>
          <t>Stack Infrastructure NVA02 Manassas</t>
        </is>
      </c>
      <c r="E230" t="inlineStr">
        <is>
          <t>REZ2019-00028</t>
        </is>
      </c>
      <c r="F230" t="inlineStr">
        <is>
          <t>7595-76-6544.00</t>
        </is>
      </c>
      <c r="G230" t="inlineStr">
        <is>
          <t>9590 HORNBAKER RD</t>
        </is>
      </c>
      <c r="H230" t="n">
        <v>281000</v>
      </c>
      <c r="I230" t="n">
        <v>2023</v>
      </c>
      <c r="K230" t="inlineStr">
        <is>
          <t>BLD2022-00534</t>
        </is>
      </c>
      <c r="L230" t="inlineStr">
        <is>
          <t>Finaled</t>
        </is>
      </c>
      <c r="M230" t="inlineStr">
        <is>
          <t>2023-06-08</t>
        </is>
      </c>
      <c r="N230" t="inlineStr">
        <is>
          <t>2026-08-21</t>
        </is>
      </c>
      <c r="O230" t="n">
        <v>40</v>
      </c>
      <c r="P230" t="inlineStr">
        <is>
          <t>https://gisweb.pwcva.gov/arcgis/rest/services/Planning/Build_Out_Analysis/MapServer/9/40?f=html</t>
        </is>
      </c>
      <c r="Q230" t="inlineStr">
        <is>
          <t>Completed</t>
        </is>
      </c>
    </row>
    <row r="231">
      <c r="A231" t="n">
        <v>230</v>
      </c>
      <c r="B231" t="inlineStr">
        <is>
          <t>Stack Northern Virginia NVA02E</t>
        </is>
      </c>
      <c r="C231" t="inlineStr">
        <is>
          <t>Completed</t>
        </is>
      </c>
      <c r="D231" t="inlineStr">
        <is>
          <t>Stack Infrastructure NVA02 Manassas</t>
        </is>
      </c>
      <c r="E231" t="inlineStr">
        <is>
          <t>REZ2019-00028</t>
        </is>
      </c>
      <c r="F231" t="inlineStr">
        <is>
          <t>7595-65-9789.00</t>
        </is>
      </c>
      <c r="G231" t="inlineStr">
        <is>
          <t>9570 HORNBAKER RD</t>
        </is>
      </c>
      <c r="H231" t="n">
        <v>259200</v>
      </c>
      <c r="I231" t="n">
        <v>2024</v>
      </c>
      <c r="K231" t="inlineStr">
        <is>
          <t>BLD2023-03853</t>
        </is>
      </c>
      <c r="L231" t="inlineStr">
        <is>
          <t>Finaled</t>
        </is>
      </c>
      <c r="M231" t="inlineStr">
        <is>
          <t>2024-08-29</t>
        </is>
      </c>
      <c r="N231" t="inlineStr">
        <is>
          <t>2026-08-21</t>
        </is>
      </c>
      <c r="O231" t="n">
        <v>42</v>
      </c>
      <c r="P231" t="inlineStr">
        <is>
          <t>https://gisweb.pwcva.gov/arcgis/rest/services/Planning/Build_Out_Analysis/MapServer/9/42?f=html</t>
        </is>
      </c>
      <c r="Q231" t="inlineStr">
        <is>
          <t>Completed</t>
        </is>
      </c>
    </row>
    <row r="232">
      <c r="A232" t="n">
        <v>231</v>
      </c>
      <c r="B232" t="inlineStr">
        <is>
          <t>Stack Northern Virginia NVA02F</t>
        </is>
      </c>
      <c r="C232" t="inlineStr">
        <is>
          <t>Under Construction</t>
        </is>
      </c>
      <c r="D232" t="inlineStr">
        <is>
          <t>Stack Infrastructure NVA02 Manassas</t>
        </is>
      </c>
      <c r="E232" t="inlineStr">
        <is>
          <t>REZ2019-00028</t>
        </is>
      </c>
      <c r="F232" t="inlineStr">
        <is>
          <t>7595-75-3611</t>
        </is>
      </c>
      <c r="G232" t="inlineStr">
        <is>
          <t>9640 HORNBAKER RD</t>
        </is>
      </c>
      <c r="H232" t="n">
        <v>0</v>
      </c>
      <c r="K232" t="inlineStr">
        <is>
          <t>BLD2025-01136</t>
        </is>
      </c>
      <c r="L232" t="inlineStr">
        <is>
          <t>Issued</t>
        </is>
      </c>
      <c r="N232" t="inlineStr">
        <is>
          <t>2026-02-01</t>
        </is>
      </c>
      <c r="O232" t="n">
        <v>45</v>
      </c>
      <c r="P232" t="inlineStr">
        <is>
          <t>https://gisweb.pwcva.gov/arcgis/rest/services/Planning/Build_Out_Analysis/MapServer/9/45?f=html</t>
        </is>
      </c>
      <c r="Q232" t="inlineStr">
        <is>
          <t>Under Construction</t>
        </is>
      </c>
    </row>
    <row r="233">
      <c r="A233" t="n">
        <v>232</v>
      </c>
      <c r="B233" t="inlineStr">
        <is>
          <t>Stack Northern Virginia NVA02G</t>
        </is>
      </c>
      <c r="C233" t="inlineStr">
        <is>
          <t>Under Construction</t>
        </is>
      </c>
      <c r="D233" t="inlineStr">
        <is>
          <t>Stack Infrastructure NVA02 Manassas</t>
        </is>
      </c>
      <c r="E233" t="inlineStr">
        <is>
          <t>REZ2019-00028</t>
        </is>
      </c>
      <c r="F233" t="inlineStr">
        <is>
          <t>7595-76-2590</t>
        </is>
      </c>
      <c r="G233" t="inlineStr">
        <is>
          <t>9530 HORNBAKER RD</t>
        </is>
      </c>
      <c r="H233" t="n">
        <v>185803</v>
      </c>
      <c r="J233" t="inlineStr">
        <is>
          <t>REZ2019-00028</t>
        </is>
      </c>
      <c r="K233" t="inlineStr">
        <is>
          <t>BLD2024-05348</t>
        </is>
      </c>
      <c r="L233" t="inlineStr">
        <is>
          <t>Issued</t>
        </is>
      </c>
      <c r="N233" t="inlineStr">
        <is>
          <t>2026-09-01</t>
        </is>
      </c>
      <c r="O233" t="n">
        <v>41</v>
      </c>
      <c r="P233" t="inlineStr">
        <is>
          <t>https://gisweb.pwcva.gov/arcgis/rest/services/Planning/Build_Out_Analysis/MapServer/9/41?f=html</t>
        </is>
      </c>
      <c r="Q233" t="inlineStr">
        <is>
          <t>Under Construction</t>
        </is>
      </c>
    </row>
    <row r="234">
      <c r="A234" t="n">
        <v>233</v>
      </c>
      <c r="B234" t="inlineStr">
        <is>
          <t>Stack Northern Virginia NVA02H</t>
        </is>
      </c>
      <c r="C234" t="inlineStr">
        <is>
          <t>Under Construction</t>
        </is>
      </c>
      <c r="D234" t="inlineStr">
        <is>
          <t>Stack Infrastructure NVA02 YFT</t>
        </is>
      </c>
      <c r="E234" t="inlineStr">
        <is>
          <t>REZ2019-00034</t>
        </is>
      </c>
      <c r="F234" t="inlineStr">
        <is>
          <t>7595-54-7478</t>
        </is>
      </c>
      <c r="G234" t="inlineStr">
        <is>
          <t>10161 LINTON HALL RD</t>
        </is>
      </c>
      <c r="H234" t="n">
        <v>256280</v>
      </c>
      <c r="J234" t="inlineStr">
        <is>
          <t>REZ2019-00034</t>
        </is>
      </c>
      <c r="K234" t="inlineStr">
        <is>
          <t>BLD2025-06092</t>
        </is>
      </c>
      <c r="L234" t="inlineStr">
        <is>
          <t>Issued</t>
        </is>
      </c>
      <c r="N234" t="inlineStr">
        <is>
          <t>2026-07-16</t>
        </is>
      </c>
      <c r="O234" t="n">
        <v>43</v>
      </c>
      <c r="P234" t="inlineStr">
        <is>
          <t>https://gisweb.pwcva.gov/arcgis/rest/services/Planning/Build_Out_Analysis/MapServer/9/43?f=html</t>
        </is>
      </c>
      <c r="Q234" t="inlineStr">
        <is>
          <t>Under Construction</t>
        </is>
      </c>
    </row>
    <row r="235">
      <c r="A235" t="n">
        <v>234</v>
      </c>
      <c r="B235" t="inlineStr">
        <is>
          <t>Stack Northern Virginia NVA02I</t>
        </is>
      </c>
      <c r="C235" t="inlineStr">
        <is>
          <t>Under Construction</t>
        </is>
      </c>
      <c r="D235" t="inlineStr">
        <is>
          <t>Stack Infrastructure NVA02 YFT</t>
        </is>
      </c>
      <c r="E235" t="inlineStr">
        <is>
          <t>REZ2019-00034</t>
        </is>
      </c>
      <c r="F235" t="inlineStr">
        <is>
          <t>7595-54-7478</t>
        </is>
      </c>
      <c r="G235" t="inlineStr">
        <is>
          <t>10167 LINTON HALL RD</t>
        </is>
      </c>
      <c r="H235" t="n">
        <v>256212</v>
      </c>
      <c r="J235" t="inlineStr">
        <is>
          <t>REZ2019-00034</t>
        </is>
      </c>
      <c r="K235" t="inlineStr">
        <is>
          <t>BLD2025-03391</t>
        </is>
      </c>
      <c r="L235" t="inlineStr">
        <is>
          <t>Issued</t>
        </is>
      </c>
      <c r="N235" t="inlineStr">
        <is>
          <t>2026-07-16</t>
        </is>
      </c>
      <c r="O235" t="n">
        <v>44</v>
      </c>
      <c r="P235" t="inlineStr">
        <is>
          <t>https://gisweb.pwcva.gov/arcgis/rest/services/Planning/Build_Out_Analysis/MapServer/9/44?f=html</t>
        </is>
      </c>
      <c r="Q235" t="inlineStr">
        <is>
          <t>Under Construction</t>
        </is>
      </c>
    </row>
    <row r="236">
      <c r="A236" t="n">
        <v>235</v>
      </c>
      <c r="B236" t="inlineStr">
        <is>
          <t>Stack Northern Virginia NVA02J</t>
        </is>
      </c>
      <c r="C236" t="inlineStr">
        <is>
          <t>Under Construction</t>
        </is>
      </c>
      <c r="D236" t="inlineStr">
        <is>
          <t>Stack Infrastructure NVA02 YFT</t>
        </is>
      </c>
      <c r="E236" t="inlineStr">
        <is>
          <t>REZ2019-00034</t>
        </is>
      </c>
      <c r="F236" t="inlineStr">
        <is>
          <t>7595-54-7478</t>
        </is>
      </c>
      <c r="G236" t="inlineStr">
        <is>
          <t>10155 LINTON HALL RD</t>
        </is>
      </c>
      <c r="H236" t="n">
        <v>201000</v>
      </c>
      <c r="J236" t="inlineStr">
        <is>
          <t>REZ2019-00034</t>
        </is>
      </c>
      <c r="K236" t="inlineStr">
        <is>
          <t>BLD2026-01905</t>
        </is>
      </c>
      <c r="L236" t="inlineStr">
        <is>
          <t>Issued</t>
        </is>
      </c>
      <c r="N236" t="inlineStr">
        <is>
          <t>2026-07-16</t>
        </is>
      </c>
      <c r="O236" t="n">
        <v>63</v>
      </c>
      <c r="P236" t="inlineStr">
        <is>
          <t>https://gisweb.pwcva.gov/arcgis/rest/services/Planning/Build_Out_Analysis/MapServer/9/63?f=html</t>
        </is>
      </c>
      <c r="Q236" t="inlineStr">
        <is>
          <t>Under Construction</t>
        </is>
      </c>
    </row>
    <row r="237">
      <c r="A237" t="n">
        <v>236</v>
      </c>
      <c r="B237" t="inlineStr">
        <is>
          <t>Stack Northern Virginia NVA05E</t>
        </is>
      </c>
      <c r="C237" t="inlineStr">
        <is>
          <t>Planned</t>
        </is>
      </c>
      <c r="D237" t="inlineStr">
        <is>
          <t>Stack Northern Virginia NVA05</t>
        </is>
      </c>
      <c r="E237" t="inlineStr">
        <is>
          <t>REZ2023-00026</t>
        </is>
      </c>
      <c r="F237" t="inlineStr">
        <is>
          <t>7696-33-1105</t>
        </is>
      </c>
      <c r="G237" t="inlineStr">
        <is>
          <t>8671 WELLINGTON RD</t>
        </is>
      </c>
      <c r="H237" t="n">
        <v>326500</v>
      </c>
      <c r="J237" t="inlineStr">
        <is>
          <t>REZ2023-00026</t>
        </is>
      </c>
      <c r="L237" t="inlineStr">
        <is>
          <t>Planned</t>
        </is>
      </c>
      <c r="N237" t="inlineStr">
        <is>
          <t>2026-06-08</t>
        </is>
      </c>
      <c r="O237" t="n">
        <v>33</v>
      </c>
      <c r="P237" t="inlineStr">
        <is>
          <t>https://gisweb.pwcva.gov/arcgis/rest/services/Planning/Build_Out_Analysis/MapServer/9/33?f=html</t>
        </is>
      </c>
      <c r="Q237" t="inlineStr">
        <is>
          <t>Planned</t>
        </is>
      </c>
    </row>
    <row r="238">
      <c r="A238" t="n">
        <v>237</v>
      </c>
      <c r="B238" t="inlineStr">
        <is>
          <t>SUDLEY MANOR DRIVE A</t>
        </is>
      </c>
      <c r="C238" t="inlineStr">
        <is>
          <t>Pending</t>
        </is>
      </c>
      <c r="D238" t="inlineStr">
        <is>
          <t>Sudley Manor Drive</t>
        </is>
      </c>
      <c r="E238" t="inlineStr">
        <is>
          <t>REZ2026-00039</t>
        </is>
      </c>
      <c r="G238" t="inlineStr">
        <is>
          <t>11951 SUDLEY MANOR DR MANASSAS, VA 20109</t>
        </is>
      </c>
      <c r="H238" t="n">
        <v>293236</v>
      </c>
      <c r="J238" t="inlineStr">
        <is>
          <t>REZ2020-00010</t>
        </is>
      </c>
      <c r="L238" t="inlineStr">
        <is>
          <t>Planned</t>
        </is>
      </c>
      <c r="N238" t="inlineStr">
        <is>
          <t>2026-05-05</t>
        </is>
      </c>
      <c r="O238" t="n">
        <v>245</v>
      </c>
      <c r="P238" t="inlineStr">
        <is>
          <t>https://gisweb.pwcva.gov/arcgis/rest/services/Planning/Build_Out_Analysis/MapServer/9/245?f=html</t>
        </is>
      </c>
      <c r="Q238" t="inlineStr">
        <is>
          <t>Pending</t>
        </is>
      </c>
    </row>
    <row r="239">
      <c r="A239" t="n">
        <v>238</v>
      </c>
      <c r="B239" t="inlineStr">
        <is>
          <t>Sudley Manor North</t>
        </is>
      </c>
      <c r="C239" t="inlineStr">
        <is>
          <t>Planned</t>
        </is>
      </c>
      <c r="D239" t="inlineStr">
        <is>
          <t>Sudley Manor North</t>
        </is>
      </c>
      <c r="E239" t="inlineStr">
        <is>
          <t>REZ2020-00010</t>
        </is>
      </c>
      <c r="F239" t="inlineStr">
        <is>
          <t>7596-43-9061</t>
        </is>
      </c>
      <c r="G239" t="inlineStr">
        <is>
          <t>11950 SUDLEY MANOR DR</t>
        </is>
      </c>
      <c r="H239" t="n">
        <v>417960</v>
      </c>
      <c r="J239" t="inlineStr">
        <is>
          <t>REZ2020-00010</t>
        </is>
      </c>
      <c r="L239" t="inlineStr">
        <is>
          <t>Planned</t>
        </is>
      </c>
      <c r="N239" t="inlineStr">
        <is>
          <t>2026-09-23</t>
        </is>
      </c>
      <c r="O239" t="n">
        <v>680</v>
      </c>
      <c r="P239" t="inlineStr">
        <is>
          <t>https://gisweb.pwcva.gov/arcgis/rest/services/Planning/Build_Out_Analysis/MapServer/9/680?f=html</t>
        </is>
      </c>
      <c r="Q239" t="inlineStr">
        <is>
          <t>Planned</t>
        </is>
      </c>
    </row>
    <row r="240">
      <c r="A240" t="n">
        <v>239</v>
      </c>
      <c r="B240" t="inlineStr">
        <is>
          <t>TPC Data Centers</t>
        </is>
      </c>
      <c r="C240" t="inlineStr">
        <is>
          <t>Completed</t>
        </is>
      </c>
      <c r="D240" t="inlineStr">
        <is>
          <t>TPC Data Centers</t>
        </is>
      </c>
      <c r="E240" t="inlineStr">
        <is>
          <t>REZ2024-00008</t>
        </is>
      </c>
      <c r="F240" t="inlineStr">
        <is>
          <t>7696-42-1559</t>
        </is>
      </c>
      <c r="G240" t="inlineStr">
        <is>
          <t>8819 WELLINGTON RD</t>
        </is>
      </c>
      <c r="H240" t="n">
        <v>361500</v>
      </c>
      <c r="I240" t="n">
        <v>2026</v>
      </c>
      <c r="J240" t="inlineStr">
        <is>
          <t>REZ2024-00008</t>
        </is>
      </c>
      <c r="K240" t="inlineStr">
        <is>
          <t>BLD2024-04783</t>
        </is>
      </c>
      <c r="L240" t="inlineStr">
        <is>
          <t>Finaled</t>
        </is>
      </c>
      <c r="M240" t="inlineStr">
        <is>
          <t>2026-07-01</t>
        </is>
      </c>
      <c r="N240" t="inlineStr">
        <is>
          <t>2026-07-20</t>
        </is>
      </c>
      <c r="O240" t="n">
        <v>29</v>
      </c>
      <c r="P240" t="inlineStr">
        <is>
          <t>https://gisweb.pwcva.gov/arcgis/rest/services/Planning/Build_Out_Analysis/MapServer/9/29?f=html</t>
        </is>
      </c>
      <c r="Q240" t="inlineStr">
        <is>
          <t>Completed</t>
        </is>
      </c>
    </row>
    <row r="241">
      <c r="A241" t="n">
        <v>240</v>
      </c>
      <c r="B241" t="inlineStr">
        <is>
          <t>Microsoft Azure MNZ07</t>
        </is>
      </c>
      <c r="C241" t="inlineStr">
        <is>
          <t>Pending</t>
        </is>
      </c>
      <c r="D241" t="inlineStr">
        <is>
          <t>University Business Park</t>
        </is>
      </c>
      <c r="E241" t="inlineStr">
        <is>
          <t>REZ2023-00019</t>
        </is>
      </c>
      <c r="F241" t="inlineStr">
        <is>
          <t>7497-43-7416</t>
        </is>
      </c>
      <c r="G241" t="inlineStr">
        <is>
          <t>13490 UNIVERSITY BLVD</t>
        </is>
      </c>
      <c r="H241" t="n">
        <v>385100</v>
      </c>
      <c r="J241" t="inlineStr">
        <is>
          <t>REZ1958-0021</t>
        </is>
      </c>
      <c r="L241" t="inlineStr">
        <is>
          <t>Planned</t>
        </is>
      </c>
      <c r="N241" t="inlineStr">
        <is>
          <t>2026-08-07</t>
        </is>
      </c>
      <c r="O241" t="n">
        <v>116</v>
      </c>
      <c r="P241" t="inlineStr">
        <is>
          <t>https://gisweb.pwcva.gov/arcgis/rest/services/Planning/Build_Out_Analysis/MapServer/9/116?f=html</t>
        </is>
      </c>
      <c r="Q241" t="inlineStr">
        <is>
          <t>Pending</t>
        </is>
      </c>
    </row>
    <row r="242">
      <c r="A242" t="n">
        <v>241</v>
      </c>
      <c r="B242" t="inlineStr">
        <is>
          <t>Microsoft Azure MNZ08</t>
        </is>
      </c>
      <c r="C242" t="inlineStr">
        <is>
          <t>Pending</t>
        </is>
      </c>
      <c r="D242" t="inlineStr">
        <is>
          <t>University Business Park</t>
        </is>
      </c>
      <c r="E242" t="inlineStr">
        <is>
          <t>REZ2023-00019</t>
        </is>
      </c>
      <c r="F242" t="inlineStr">
        <is>
          <t>7497-43-7416</t>
        </is>
      </c>
      <c r="G242" t="inlineStr">
        <is>
          <t>13490 UNIVERSITY BLVD</t>
        </is>
      </c>
      <c r="H242" t="n">
        <v>385100</v>
      </c>
      <c r="J242" t="inlineStr">
        <is>
          <t>REZ1958-0021</t>
        </is>
      </c>
      <c r="L242" t="inlineStr">
        <is>
          <t>Planned</t>
        </is>
      </c>
      <c r="N242" t="inlineStr">
        <is>
          <t>2026-08-07</t>
        </is>
      </c>
      <c r="O242" t="n">
        <v>118</v>
      </c>
      <c r="P242" t="inlineStr">
        <is>
          <t>https://gisweb.pwcva.gov/arcgis/rest/services/Planning/Build_Out_Analysis/MapServer/9/118?f=html</t>
        </is>
      </c>
      <c r="Q242" t="inlineStr">
        <is>
          <t>Pending</t>
        </is>
      </c>
    </row>
    <row r="243">
      <c r="A243" t="n">
        <v>242</v>
      </c>
      <c r="B243" t="inlineStr">
        <is>
          <t>Verizon Manassas 7777 Infantry Ridge</t>
        </is>
      </c>
      <c r="C243" t="inlineStr">
        <is>
          <t>Completed</t>
        </is>
      </c>
      <c r="D243" t="inlineStr">
        <is>
          <t>Verizon Manassas 7777 Infantry Ridge</t>
        </is>
      </c>
      <c r="E243" t="inlineStr">
        <is>
          <t>REZ1988-0030</t>
        </is>
      </c>
      <c r="F243" t="inlineStr">
        <is>
          <t>7697-47-3772</t>
        </is>
      </c>
      <c r="G243" t="inlineStr">
        <is>
          <t>7777 INFANTRY RIDGE RD</t>
        </is>
      </c>
      <c r="H243" t="n">
        <v>227465</v>
      </c>
      <c r="I243" t="n">
        <v>2002</v>
      </c>
      <c r="K243" t="inlineStr">
        <is>
          <t>BLD2026-02975</t>
        </is>
      </c>
      <c r="L243" t="inlineStr">
        <is>
          <t>Finaled</t>
        </is>
      </c>
      <c r="M243" t="inlineStr">
        <is>
          <t>2002-06-03</t>
        </is>
      </c>
      <c r="N243" t="inlineStr">
        <is>
          <t>2026-08-21</t>
        </is>
      </c>
      <c r="O243" t="n">
        <v>153</v>
      </c>
      <c r="P243" t="inlineStr">
        <is>
          <t>https://gisweb.pwcva.gov/arcgis/rest/services/Planning/Build_Out_Analysis/MapServer/9/153?f=html</t>
        </is>
      </c>
      <c r="Q243" t="inlineStr">
        <is>
          <t>Completed</t>
        </is>
      </c>
    </row>
    <row r="244">
      <c r="A244" t="n">
        <v>243</v>
      </c>
      <c r="B244" t="inlineStr">
        <is>
          <t>Wellington Glen Technology Park</t>
        </is>
      </c>
      <c r="C244" t="inlineStr">
        <is>
          <t>Planned</t>
        </is>
      </c>
      <c r="D244" t="inlineStr">
        <is>
          <t>Wellington Glen Technology Park</t>
        </is>
      </c>
      <c r="E244" t="inlineStr">
        <is>
          <t>REZ2024-00018</t>
        </is>
      </c>
      <c r="F244" t="inlineStr">
        <is>
          <t>7596-54-4132</t>
        </is>
      </c>
      <c r="G244" t="inlineStr">
        <is>
          <t>11750 STONE CROP DR</t>
        </is>
      </c>
      <c r="H244" t="n">
        <v>475000</v>
      </c>
      <c r="L244" t="inlineStr">
        <is>
          <t>Planned</t>
        </is>
      </c>
      <c r="N244" t="inlineStr">
        <is>
          <t>2026-01-22</t>
        </is>
      </c>
      <c r="O244" t="n">
        <v>110</v>
      </c>
      <c r="P244" t="inlineStr">
        <is>
          <t>https://gisweb.pwcva.gov/arcgis/rest/services/Planning/Build_Out_Analysis/MapServer/9/110?f=html</t>
        </is>
      </c>
      <c r="Q244" t="inlineStr">
        <is>
          <t>Planned</t>
        </is>
      </c>
    </row>
    <row r="245">
      <c r="A245" t="n">
        <v>244</v>
      </c>
      <c r="B245" t="inlineStr">
        <is>
          <t>Yondr Bristow Campus Building 1</t>
        </is>
      </c>
      <c r="C245" t="inlineStr">
        <is>
          <t>Completed</t>
        </is>
      </c>
      <c r="D245" t="inlineStr">
        <is>
          <t>Yondr Bristow</t>
        </is>
      </c>
      <c r="E245" t="inlineStr">
        <is>
          <t>REZ2017-00023</t>
        </is>
      </c>
      <c r="F245" t="inlineStr">
        <is>
          <t>7496-47-2405</t>
        </is>
      </c>
      <c r="G245" t="inlineStr">
        <is>
          <t>13051 ROLLINS FORD RD</t>
        </is>
      </c>
      <c r="H245" t="n">
        <v>324580</v>
      </c>
      <c r="I245" t="n">
        <v>2025</v>
      </c>
      <c r="J245" t="inlineStr">
        <is>
          <t>REZ2017-00023</t>
        </is>
      </c>
      <c r="K245" t="inlineStr">
        <is>
          <t>BLD2022-03616</t>
        </is>
      </c>
      <c r="L245" t="inlineStr">
        <is>
          <t>Finaled</t>
        </is>
      </c>
      <c r="M245" t="inlineStr">
        <is>
          <t>2025-06-23</t>
        </is>
      </c>
      <c r="N245" t="inlineStr">
        <is>
          <t>2026-05-29</t>
        </is>
      </c>
      <c r="O245" t="n">
        <v>93</v>
      </c>
      <c r="P245" t="inlineStr">
        <is>
          <t>https://gisweb.pwcva.gov/arcgis/rest/services/Planning/Build_Out_Analysis/MapServer/9/93?f=html</t>
        </is>
      </c>
      <c r="Q245" t="inlineStr">
        <is>
          <t>Completed</t>
        </is>
      </c>
    </row>
    <row r="246">
      <c r="A246" t="n">
        <v>245</v>
      </c>
      <c r="B246" t="inlineStr">
        <is>
          <t>Yondr Bristow Campus Building 2</t>
        </is>
      </c>
      <c r="C246" t="inlineStr">
        <is>
          <t>Completed</t>
        </is>
      </c>
      <c r="D246" t="inlineStr">
        <is>
          <t>Yondr Bristow</t>
        </is>
      </c>
      <c r="E246" t="inlineStr">
        <is>
          <t>REZ2017-00023</t>
        </is>
      </c>
      <c r="F246" t="inlineStr">
        <is>
          <t>7496-47-2405</t>
        </is>
      </c>
      <c r="G246" t="inlineStr">
        <is>
          <t>13085 ROLLINS FORD RD</t>
        </is>
      </c>
      <c r="H246" t="n">
        <v>288530</v>
      </c>
      <c r="I246" t="n">
        <v>2025</v>
      </c>
      <c r="J246" t="inlineStr">
        <is>
          <t>REZ2017-00023</t>
        </is>
      </c>
      <c r="K246" t="inlineStr">
        <is>
          <t>BLD2023-01345</t>
        </is>
      </c>
      <c r="L246" t="inlineStr">
        <is>
          <t>Finaled</t>
        </is>
      </c>
      <c r="M246" t="inlineStr">
        <is>
          <t>2025-06-23</t>
        </is>
      </c>
      <c r="N246" t="inlineStr">
        <is>
          <t>2026-05-29</t>
        </is>
      </c>
      <c r="O246" t="n">
        <v>94</v>
      </c>
      <c r="P246" t="inlineStr">
        <is>
          <t>https://gisweb.pwcva.gov/arcgis/rest/services/Planning/Build_Out_Analysis/MapServer/9/94?f=html</t>
        </is>
      </c>
      <c r="Q246" t="inlineStr">
        <is>
          <t>Completed</t>
        </is>
      </c>
    </row>
    <row r="247">
      <c r="A247" t="n">
        <v>246</v>
      </c>
      <c r="B247" t="inlineStr">
        <is>
          <t>Yondr Bristow Campus Building 3</t>
        </is>
      </c>
      <c r="C247" t="inlineStr">
        <is>
          <t>Completed</t>
        </is>
      </c>
      <c r="D247" t="inlineStr">
        <is>
          <t>Yondr Bristow</t>
        </is>
      </c>
      <c r="E247" t="inlineStr">
        <is>
          <t>REZ2017-00023</t>
        </is>
      </c>
      <c r="F247" t="inlineStr">
        <is>
          <t>7496-47-2405</t>
        </is>
      </c>
      <c r="G247" t="inlineStr">
        <is>
          <t>13040 ROLLINS FORD RD</t>
        </is>
      </c>
      <c r="H247" t="n">
        <v>288530</v>
      </c>
      <c r="I247" t="n">
        <v>2026</v>
      </c>
      <c r="J247" t="inlineStr">
        <is>
          <t>REZ2017-00023</t>
        </is>
      </c>
      <c r="K247" t="inlineStr">
        <is>
          <t>BLD2023-04428</t>
        </is>
      </c>
      <c r="L247" t="inlineStr">
        <is>
          <t>Finaled</t>
        </is>
      </c>
      <c r="M247" t="inlineStr">
        <is>
          <t>2026-09-16</t>
        </is>
      </c>
      <c r="N247" t="inlineStr">
        <is>
          <t>2026-10-01</t>
        </is>
      </c>
      <c r="O247" t="n">
        <v>95</v>
      </c>
      <c r="P247" t="inlineStr">
        <is>
          <t>https://gisweb.pwcva.gov/arcgis/rest/services/Planning/Build_Out_Analysis/MapServer/9/95?f=html</t>
        </is>
      </c>
      <c r="Q247" t="inlineStr">
        <is>
          <t>Completed</t>
        </is>
      </c>
    </row>
    <row r="248">
      <c r="A248" t="n">
        <v>247</v>
      </c>
      <c r="B248" t="inlineStr">
        <is>
          <t>Yondr Bristow Campus Building 4</t>
        </is>
      </c>
      <c r="C248" t="inlineStr">
        <is>
          <t>Planned</t>
        </is>
      </c>
      <c r="D248" t="inlineStr">
        <is>
          <t>Yondr Bristow</t>
        </is>
      </c>
      <c r="E248" t="inlineStr">
        <is>
          <t>REZ2017-00023</t>
        </is>
      </c>
      <c r="F248" t="inlineStr">
        <is>
          <t>7496-47-2405</t>
        </is>
      </c>
      <c r="G248" t="inlineStr">
        <is>
          <t>13080 ROLLINS FORD RD</t>
        </is>
      </c>
      <c r="H248" t="n">
        <v>167346</v>
      </c>
      <c r="J248" t="inlineStr">
        <is>
          <t>REZ2017-00023</t>
        </is>
      </c>
      <c r="K248" t="inlineStr">
        <is>
          <t>BLD2027-01529</t>
        </is>
      </c>
      <c r="L248" t="inlineStr">
        <is>
          <t>Planned</t>
        </is>
      </c>
      <c r="N248" t="inlineStr">
        <is>
          <t>2026-10-01</t>
        </is>
      </c>
      <c r="O248" t="n">
        <v>258</v>
      </c>
      <c r="P248" t="inlineStr">
        <is>
          <t>https://gisweb.pwcva.gov/arcgis/rest/services/Planning/Build_Out_Analysis/MapServer/9/258?f=html</t>
        </is>
      </c>
      <c r="Q248" t="inlineStr">
        <is>
          <t>Planned</t>
        </is>
      </c>
    </row>
  </sheetData>
  <autoFilter ref="A1:O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2026-10-15T17:23:20Z</dcterms:created>
  <dcterms:modified xmlns:dcterms="http://purl.org/dc/terms/" xmlns:xsi="http://www.w3.org/2001/XMLSchema-instance" xsi:type="dcterms:W3CDTF">2026-10-15T21:40:28Z</dcterms:modified>
</cp:coreProperties>
</file>